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filterPrivacy="1" codeName="ThisWorkbook"/>
  <xr:revisionPtr revIDLastSave="0" documentId="13_ncr:1_{9A138EA1-40C6-48E3-B922-08C83D303877}" xr6:coauthVersionLast="46" xr6:coauthVersionMax="46" xr10:uidLastSave="{00000000-0000-0000-0000-000000000000}"/>
  <bookViews>
    <workbookView xWindow="-120" yWindow="-120" windowWidth="29040" windowHeight="16440" tabRatio="415" activeTab="1" xr2:uid="{00000000-000D-0000-FFFF-FFFF00000000}"/>
  </bookViews>
  <sheets>
    <sheet name="進捗管理表" sheetId="18" r:id="rId1"/>
    <sheet name="バーンダウンチャート" sheetId="19" r:id="rId2"/>
  </sheets>
  <definedNames>
    <definedName name="_xlnm.Print_Titles" localSheetId="0">進捗管理表!$6:$9</definedName>
    <definedName name="Project_Start" localSheetId="0">進捗管理表!$C$6</definedName>
    <definedName name="Scrolling_Increment" localSheetId="0">進捗管理表!$C$7</definedName>
    <definedName name="今日" localSheetId="0">TODAY()</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5" i="18" l="1"/>
  <c r="C6" i="18"/>
  <c r="F16" i="18"/>
  <c r="F18" i="18"/>
  <c r="F22" i="18" l="1"/>
  <c r="F21" i="18"/>
  <c r="F19" i="18"/>
  <c r="I7" i="18"/>
  <c r="I50" i="18" l="1"/>
  <c r="I44" i="18"/>
  <c r="I38" i="18"/>
  <c r="I46" i="18"/>
  <c r="I39" i="18"/>
  <c r="I34" i="18"/>
  <c r="I45" i="18"/>
  <c r="I47" i="18"/>
  <c r="I42" i="18"/>
  <c r="I36" i="18"/>
  <c r="I35" i="18"/>
  <c r="I37" i="18"/>
  <c r="I33" i="18"/>
  <c r="I31" i="18"/>
  <c r="I41" i="18"/>
  <c r="I48" i="18"/>
  <c r="I40" i="18"/>
  <c r="I43" i="18"/>
  <c r="I32" i="18"/>
  <c r="I49" i="18"/>
  <c r="I30" i="18"/>
  <c r="I29" i="18"/>
  <c r="I26" i="18"/>
  <c r="F25" i="18"/>
  <c r="F24" i="18"/>
  <c r="I24" i="18"/>
  <c r="I25" i="18"/>
  <c r="I23" i="18"/>
  <c r="I9" i="18"/>
  <c r="I6" i="18"/>
  <c r="I18" i="18"/>
  <c r="I16" i="18"/>
  <c r="I20" i="18"/>
  <c r="I11" i="18"/>
  <c r="I22" i="18"/>
  <c r="J7" i="18"/>
  <c r="I13" i="18"/>
  <c r="I15" i="18"/>
  <c r="I17" i="18"/>
  <c r="I12" i="18"/>
  <c r="I14" i="18"/>
  <c r="I21" i="18"/>
  <c r="I19" i="18"/>
  <c r="J50" i="18" l="1"/>
  <c r="J44" i="18"/>
  <c r="J38" i="18"/>
  <c r="J49" i="18"/>
  <c r="J43" i="18"/>
  <c r="J39" i="18"/>
  <c r="J34" i="18"/>
  <c r="J35" i="18"/>
  <c r="J33" i="18"/>
  <c r="J47" i="18"/>
  <c r="J45" i="18"/>
  <c r="J46" i="18"/>
  <c r="J36" i="18"/>
  <c r="J48" i="18"/>
  <c r="J40" i="18"/>
  <c r="J31" i="18"/>
  <c r="J42" i="18"/>
  <c r="J32" i="18"/>
  <c r="J41" i="18"/>
  <c r="J30" i="18"/>
  <c r="J37" i="18"/>
  <c r="J29" i="18"/>
  <c r="F27" i="18"/>
  <c r="F28" i="18"/>
  <c r="I28" i="18" s="1"/>
  <c r="J26" i="18"/>
  <c r="J27" i="18"/>
  <c r="J28" i="18"/>
  <c r="J24" i="18"/>
  <c r="J25" i="18"/>
  <c r="J23" i="18"/>
  <c r="J9" i="18"/>
  <c r="J15" i="18"/>
  <c r="J19" i="18"/>
  <c r="J11" i="18"/>
  <c r="K7" i="18"/>
  <c r="J21" i="18"/>
  <c r="J22" i="18"/>
  <c r="J12" i="18"/>
  <c r="J18" i="18"/>
  <c r="J16" i="18"/>
  <c r="J13" i="18"/>
  <c r="J17" i="18"/>
  <c r="J14" i="18"/>
  <c r="J20" i="18"/>
  <c r="K49" i="18" l="1"/>
  <c r="K43" i="18"/>
  <c r="K37" i="18"/>
  <c r="K45" i="18"/>
  <c r="K33" i="18"/>
  <c r="K48" i="18"/>
  <c r="K46" i="18"/>
  <c r="K35" i="18"/>
  <c r="K47" i="18"/>
  <c r="K36" i="18"/>
  <c r="K40" i="18"/>
  <c r="K50" i="18"/>
  <c r="K31" i="18"/>
  <c r="K32" i="18"/>
  <c r="K39" i="18"/>
  <c r="K42" i="18"/>
  <c r="K44" i="18"/>
  <c r="K41" i="18"/>
  <c r="K30" i="18"/>
  <c r="K38" i="18"/>
  <c r="K34" i="18"/>
  <c r="I27" i="18"/>
  <c r="F31" i="18"/>
  <c r="F30" i="18"/>
  <c r="K29" i="18"/>
  <c r="K27" i="18"/>
  <c r="K28" i="18"/>
  <c r="K26" i="18"/>
  <c r="K25" i="18"/>
  <c r="K23" i="18"/>
  <c r="K24" i="18"/>
  <c r="K9" i="18"/>
  <c r="K11" i="18"/>
  <c r="K12" i="18"/>
  <c r="K21" i="18"/>
  <c r="K22" i="18"/>
  <c r="K15" i="18"/>
  <c r="K18" i="18"/>
  <c r="K19" i="18"/>
  <c r="K13" i="18"/>
  <c r="L7" i="18"/>
  <c r="K16" i="18"/>
  <c r="K14" i="18"/>
  <c r="K17" i="18"/>
  <c r="K20" i="18"/>
  <c r="L49" i="18" l="1"/>
  <c r="L43" i="18"/>
  <c r="L37" i="18"/>
  <c r="L48" i="18"/>
  <c r="L42" i="18"/>
  <c r="L46" i="18"/>
  <c r="L35" i="18"/>
  <c r="L33" i="18"/>
  <c r="L47" i="18"/>
  <c r="L38" i="18"/>
  <c r="L32" i="18"/>
  <c r="L45" i="18"/>
  <c r="L40" i="18"/>
  <c r="L50" i="18"/>
  <c r="L30" i="18"/>
  <c r="L41" i="18"/>
  <c r="L39" i="18"/>
  <c r="L31" i="18"/>
  <c r="L44" i="18"/>
  <c r="L36" i="18"/>
  <c r="L34" i="18"/>
  <c r="F34" i="18"/>
  <c r="F33" i="18"/>
  <c r="L29" i="18"/>
  <c r="L27" i="18"/>
  <c r="L28" i="18"/>
  <c r="L26" i="18"/>
  <c r="L24" i="18"/>
  <c r="L25" i="18"/>
  <c r="L23" i="18"/>
  <c r="L9" i="18"/>
  <c r="L20" i="18"/>
  <c r="L14" i="18"/>
  <c r="L17" i="18"/>
  <c r="M7" i="18"/>
  <c r="L11" i="18"/>
  <c r="L16" i="18"/>
  <c r="L13" i="18"/>
  <c r="L15" i="18"/>
  <c r="L19" i="18"/>
  <c r="L21" i="18"/>
  <c r="L12" i="18"/>
  <c r="L18" i="18"/>
  <c r="L22" i="18"/>
  <c r="M48" i="18" l="1"/>
  <c r="M42" i="18"/>
  <c r="M36" i="18"/>
  <c r="M47" i="18"/>
  <c r="M38" i="18"/>
  <c r="M32" i="18"/>
  <c r="M41" i="18"/>
  <c r="M50" i="18"/>
  <c r="M45" i="18"/>
  <c r="M30" i="18"/>
  <c r="M39" i="18"/>
  <c r="M40" i="18"/>
  <c r="M35" i="18"/>
  <c r="M31" i="18"/>
  <c r="M43" i="18"/>
  <c r="M33" i="18"/>
  <c r="M46" i="18"/>
  <c r="M44" i="18"/>
  <c r="M49" i="18"/>
  <c r="M34" i="18"/>
  <c r="M37" i="18"/>
  <c r="F36" i="18"/>
  <c r="F37" i="18"/>
  <c r="M29" i="18"/>
  <c r="M27" i="18"/>
  <c r="M28" i="18"/>
  <c r="M26" i="18"/>
  <c r="M23" i="18"/>
  <c r="M25" i="18"/>
  <c r="M24" i="18"/>
  <c r="M22" i="18"/>
  <c r="M9" i="18"/>
  <c r="M12" i="18"/>
  <c r="M13" i="18"/>
  <c r="M20" i="18"/>
  <c r="M11" i="18"/>
  <c r="M15" i="18"/>
  <c r="M19" i="18"/>
  <c r="M18" i="18"/>
  <c r="M21" i="18"/>
  <c r="M17" i="18"/>
  <c r="N7" i="18"/>
  <c r="M14" i="18"/>
  <c r="M16" i="18"/>
  <c r="N48" i="18" l="1"/>
  <c r="N42" i="18"/>
  <c r="N36" i="18"/>
  <c r="N47" i="18"/>
  <c r="N41" i="18"/>
  <c r="N38" i="18"/>
  <c r="N32" i="18"/>
  <c r="N31" i="18"/>
  <c r="N40" i="18"/>
  <c r="N35" i="18"/>
  <c r="N39" i="18"/>
  <c r="N50" i="18"/>
  <c r="N45" i="18"/>
  <c r="N30" i="18"/>
  <c r="N43" i="18"/>
  <c r="N44" i="18"/>
  <c r="N46" i="18"/>
  <c r="N49" i="18"/>
  <c r="N34" i="18"/>
  <c r="N37" i="18"/>
  <c r="N33" i="18"/>
  <c r="F39" i="18"/>
  <c r="F40" i="18"/>
  <c r="N29" i="18"/>
  <c r="N28" i="18"/>
  <c r="N26" i="18"/>
  <c r="N27" i="18"/>
  <c r="N25" i="18"/>
  <c r="N24" i="18"/>
  <c r="N23" i="18"/>
  <c r="N9" i="18"/>
  <c r="N12" i="18"/>
  <c r="N20" i="18"/>
  <c r="N19" i="18"/>
  <c r="N11" i="18"/>
  <c r="N16" i="18"/>
  <c r="N17" i="18"/>
  <c r="N18" i="18"/>
  <c r="N21" i="18"/>
  <c r="O7" i="18"/>
  <c r="N13" i="18"/>
  <c r="N14" i="18"/>
  <c r="N15" i="18"/>
  <c r="N22" i="18"/>
  <c r="O47" i="18" l="1"/>
  <c r="O41" i="18"/>
  <c r="O35" i="18"/>
  <c r="O31" i="18"/>
  <c r="O49" i="18"/>
  <c r="O48" i="18"/>
  <c r="O40" i="18"/>
  <c r="O50" i="18"/>
  <c r="O45" i="18"/>
  <c r="O30" i="18"/>
  <c r="O39" i="18"/>
  <c r="O43" i="18"/>
  <c r="O46" i="18"/>
  <c r="O42" i="18"/>
  <c r="O44" i="18"/>
  <c r="O32" i="18"/>
  <c r="O34" i="18"/>
  <c r="O37" i="18"/>
  <c r="O36" i="18"/>
  <c r="O38" i="18"/>
  <c r="O33" i="18"/>
  <c r="F42" i="18"/>
  <c r="F43" i="18"/>
  <c r="O29" i="18"/>
  <c r="O27" i="18"/>
  <c r="O28" i="18"/>
  <c r="O26" i="18"/>
  <c r="O23" i="18"/>
  <c r="O25" i="18"/>
  <c r="O24" i="18"/>
  <c r="O9" i="18"/>
  <c r="O13" i="18"/>
  <c r="O17" i="18"/>
  <c r="P7" i="18"/>
  <c r="O20" i="18"/>
  <c r="O16" i="18"/>
  <c r="O19" i="18"/>
  <c r="O21" i="18"/>
  <c r="O11" i="18"/>
  <c r="O18" i="18"/>
  <c r="O22" i="18"/>
  <c r="O12" i="18"/>
  <c r="O15" i="18"/>
  <c r="O14" i="18"/>
  <c r="P47" i="18" l="1"/>
  <c r="P41" i="18"/>
  <c r="P35" i="18"/>
  <c r="P46" i="18"/>
  <c r="P31" i="18"/>
  <c r="P40" i="18"/>
  <c r="P50" i="18"/>
  <c r="P48" i="18"/>
  <c r="P49" i="18"/>
  <c r="P37" i="18"/>
  <c r="P30" i="18"/>
  <c r="P39" i="18"/>
  <c r="P43" i="18"/>
  <c r="P38" i="18"/>
  <c r="P44" i="18"/>
  <c r="P42" i="18"/>
  <c r="P32" i="18"/>
  <c r="P34" i="18"/>
  <c r="P45" i="18"/>
  <c r="P36" i="18"/>
  <c r="P33" i="18"/>
  <c r="F45" i="18"/>
  <c r="F46" i="18"/>
  <c r="P29" i="18"/>
  <c r="P28" i="18"/>
  <c r="P27" i="18"/>
  <c r="P26" i="18"/>
  <c r="P25" i="18"/>
  <c r="P23" i="18"/>
  <c r="P24" i="18"/>
  <c r="P9" i="18"/>
  <c r="P6" i="18"/>
  <c r="P13" i="18"/>
  <c r="Q7" i="18"/>
  <c r="P20" i="18"/>
  <c r="P21" i="18"/>
  <c r="P19" i="18"/>
  <c r="P22" i="18"/>
  <c r="P12" i="18"/>
  <c r="P15" i="18"/>
  <c r="P17" i="18"/>
  <c r="P14" i="18"/>
  <c r="P11" i="18"/>
  <c r="P16" i="18"/>
  <c r="P18" i="18"/>
  <c r="Q46" i="18" l="1"/>
  <c r="Q40" i="18"/>
  <c r="Q48" i="18"/>
  <c r="Q41" i="18"/>
  <c r="Q49" i="18"/>
  <c r="Q37" i="18"/>
  <c r="Q30" i="18"/>
  <c r="Q50" i="18"/>
  <c r="Q42" i="18"/>
  <c r="Q43" i="18"/>
  <c r="Q35" i="18"/>
  <c r="Q31" i="18"/>
  <c r="Q32" i="18"/>
  <c r="Q38" i="18"/>
  <c r="Q33" i="18"/>
  <c r="Q39" i="18"/>
  <c r="Q34" i="18"/>
  <c r="Q45" i="18"/>
  <c r="Q36" i="18"/>
  <c r="Q47" i="18"/>
  <c r="Q44" i="18"/>
  <c r="Q29" i="18"/>
  <c r="Q26" i="18"/>
  <c r="Q27" i="18"/>
  <c r="Q28" i="18"/>
  <c r="Q23" i="18"/>
  <c r="Q24" i="18"/>
  <c r="Q25" i="18"/>
  <c r="Q9" i="18"/>
  <c r="Q17" i="18"/>
  <c r="Q18" i="18"/>
  <c r="Q21" i="18"/>
  <c r="Q20" i="18"/>
  <c r="Q13" i="18"/>
  <c r="Q19" i="18"/>
  <c r="R7" i="18"/>
  <c r="Q15" i="18"/>
  <c r="Q16" i="18"/>
  <c r="Q22" i="18"/>
  <c r="Q12" i="18"/>
  <c r="Q11" i="18"/>
  <c r="Q14" i="18"/>
  <c r="R46" i="18" l="1"/>
  <c r="R40" i="18"/>
  <c r="R45" i="18"/>
  <c r="R49" i="18"/>
  <c r="R37" i="18"/>
  <c r="R30" i="18"/>
  <c r="R42" i="18"/>
  <c r="R50" i="18"/>
  <c r="R41" i="18"/>
  <c r="R43" i="18"/>
  <c r="R32" i="18"/>
  <c r="R48" i="18"/>
  <c r="R33" i="18"/>
  <c r="R31" i="18"/>
  <c r="R38" i="18"/>
  <c r="R44" i="18"/>
  <c r="R34" i="18"/>
  <c r="R36" i="18"/>
  <c r="R35" i="18"/>
  <c r="R47" i="18"/>
  <c r="R39" i="18"/>
  <c r="R29" i="18"/>
  <c r="R27" i="18"/>
  <c r="R26" i="18"/>
  <c r="R28" i="18"/>
  <c r="R23" i="18"/>
  <c r="R24" i="18"/>
  <c r="R25" i="18"/>
  <c r="R9" i="18"/>
  <c r="R11" i="18"/>
  <c r="R18" i="18"/>
  <c r="R12" i="18"/>
  <c r="R22" i="18"/>
  <c r="R17" i="18"/>
  <c r="R15" i="18"/>
  <c r="R13" i="18"/>
  <c r="R20" i="18"/>
  <c r="S7" i="18"/>
  <c r="R16" i="18"/>
  <c r="R14" i="18"/>
  <c r="R21" i="18"/>
  <c r="R19" i="18"/>
  <c r="S45" i="18" l="1"/>
  <c r="S39" i="18"/>
  <c r="S50" i="18"/>
  <c r="S41" i="18"/>
  <c r="S43" i="18"/>
  <c r="S42" i="18"/>
  <c r="S40" i="18"/>
  <c r="S44" i="18"/>
  <c r="S31" i="18"/>
  <c r="S48" i="18"/>
  <c r="S33" i="18"/>
  <c r="S34" i="18"/>
  <c r="S38" i="18"/>
  <c r="S32" i="18"/>
  <c r="S46" i="18"/>
  <c r="S36" i="18"/>
  <c r="S49" i="18"/>
  <c r="S35" i="18"/>
  <c r="S47" i="18"/>
  <c r="S37" i="18"/>
  <c r="S30" i="18"/>
  <c r="S29" i="18"/>
  <c r="S27" i="18"/>
  <c r="S26" i="18"/>
  <c r="S28" i="18"/>
  <c r="S24" i="18"/>
  <c r="S23" i="18"/>
  <c r="S25" i="18"/>
  <c r="S9" i="18"/>
  <c r="T7" i="18"/>
  <c r="S12" i="18"/>
  <c r="S15" i="18"/>
  <c r="S19" i="18"/>
  <c r="S18" i="18"/>
  <c r="S22" i="18"/>
  <c r="S21" i="18"/>
  <c r="S11" i="18"/>
  <c r="S13" i="18"/>
  <c r="S16" i="18"/>
  <c r="S14" i="18"/>
  <c r="S17" i="18"/>
  <c r="S20" i="18"/>
  <c r="T45" i="18" l="1"/>
  <c r="T39" i="18"/>
  <c r="T50" i="18"/>
  <c r="T44" i="18"/>
  <c r="T42" i="18"/>
  <c r="T40" i="18"/>
  <c r="T34" i="18"/>
  <c r="T43" i="18"/>
  <c r="T36" i="18"/>
  <c r="T38" i="18"/>
  <c r="T32" i="18"/>
  <c r="T41" i="18"/>
  <c r="T48" i="18"/>
  <c r="T33" i="18"/>
  <c r="T46" i="18"/>
  <c r="T37" i="18"/>
  <c r="T49" i="18"/>
  <c r="T30" i="18"/>
  <c r="T35" i="18"/>
  <c r="T47" i="18"/>
  <c r="T31" i="18"/>
  <c r="T29" i="18"/>
  <c r="T26" i="18"/>
  <c r="T27" i="18"/>
  <c r="T28" i="18"/>
  <c r="T23" i="18"/>
  <c r="T24" i="18"/>
  <c r="T25" i="18"/>
  <c r="T9" i="18"/>
  <c r="T15" i="18"/>
  <c r="T21" i="18"/>
  <c r="T19" i="18"/>
  <c r="T11" i="18"/>
  <c r="U7" i="18"/>
  <c r="T17" i="18"/>
  <c r="T13" i="18"/>
  <c r="T12" i="18"/>
  <c r="T14" i="18"/>
  <c r="T16" i="18"/>
  <c r="T20" i="18"/>
  <c r="T18" i="18"/>
  <c r="T22" i="18"/>
  <c r="U50" i="18" l="1"/>
  <c r="U44" i="18"/>
  <c r="U38" i="18"/>
  <c r="U43" i="18"/>
  <c r="U34" i="18"/>
  <c r="U36" i="18"/>
  <c r="U48" i="18"/>
  <c r="U33" i="18"/>
  <c r="U41" i="18"/>
  <c r="U37" i="18"/>
  <c r="U46" i="18"/>
  <c r="U42" i="18"/>
  <c r="U40" i="18"/>
  <c r="U49" i="18"/>
  <c r="U35" i="18"/>
  <c r="U47" i="18"/>
  <c r="U32" i="18"/>
  <c r="U30" i="18"/>
  <c r="U45" i="18"/>
  <c r="U39" i="18"/>
  <c r="U31" i="18"/>
  <c r="U29" i="18"/>
  <c r="U26" i="18"/>
  <c r="U27" i="18"/>
  <c r="U28" i="18"/>
  <c r="U25" i="18"/>
  <c r="U24" i="18"/>
  <c r="U23" i="18"/>
  <c r="U9" i="18"/>
  <c r="U12" i="18"/>
  <c r="U20" i="18"/>
  <c r="U19" i="18"/>
  <c r="U13" i="18"/>
  <c r="U17" i="18"/>
  <c r="U16" i="18"/>
  <c r="U22" i="18"/>
  <c r="U21" i="18"/>
  <c r="U11" i="18"/>
  <c r="U14" i="18"/>
  <c r="U15" i="18"/>
  <c r="V7" i="18"/>
  <c r="U18" i="18"/>
  <c r="V50" i="18" l="1"/>
  <c r="V44" i="18"/>
  <c r="V38" i="18"/>
  <c r="V49" i="18"/>
  <c r="V43" i="18"/>
  <c r="V36" i="18"/>
  <c r="V34" i="18"/>
  <c r="V39" i="18"/>
  <c r="V33" i="18"/>
  <c r="V37" i="18"/>
  <c r="V46" i="18"/>
  <c r="V41" i="18"/>
  <c r="V48" i="18"/>
  <c r="V32" i="18"/>
  <c r="V35" i="18"/>
  <c r="V30" i="18"/>
  <c r="V40" i="18"/>
  <c r="V47" i="18"/>
  <c r="V45" i="18"/>
  <c r="V31" i="18"/>
  <c r="V42" i="18"/>
  <c r="V29" i="18"/>
  <c r="V26" i="18"/>
  <c r="V28" i="18"/>
  <c r="V27" i="18"/>
  <c r="V24" i="18"/>
  <c r="V25" i="18"/>
  <c r="V23" i="18"/>
  <c r="V9" i="18"/>
  <c r="V16" i="18"/>
  <c r="V12" i="18"/>
  <c r="V19" i="18"/>
  <c r="V17" i="18"/>
  <c r="V18" i="18"/>
  <c r="V21" i="18"/>
  <c r="V11" i="18"/>
  <c r="V14" i="18"/>
  <c r="V13" i="18"/>
  <c r="V22" i="18"/>
  <c r="W7" i="18"/>
  <c r="V15" i="18"/>
  <c r="V20" i="18"/>
  <c r="W49" i="18" l="1"/>
  <c r="W43" i="18"/>
  <c r="W37" i="18"/>
  <c r="W44" i="18"/>
  <c r="W39" i="18"/>
  <c r="W33" i="18"/>
  <c r="W45" i="18"/>
  <c r="W46" i="18"/>
  <c r="W41" i="18"/>
  <c r="W34" i="18"/>
  <c r="W40" i="18"/>
  <c r="W32" i="18"/>
  <c r="W47" i="18"/>
  <c r="W36" i="18"/>
  <c r="W50" i="18"/>
  <c r="W35" i="18"/>
  <c r="W30" i="18"/>
  <c r="W31" i="18"/>
  <c r="W38" i="18"/>
  <c r="W42" i="18"/>
  <c r="W48" i="18"/>
  <c r="W29" i="18"/>
  <c r="W27" i="18"/>
  <c r="W28" i="18"/>
  <c r="W26" i="18"/>
  <c r="W25" i="18"/>
  <c r="W24" i="18"/>
  <c r="W23" i="18"/>
  <c r="W9" i="18"/>
  <c r="W6" i="18"/>
  <c r="W15" i="18"/>
  <c r="W18" i="18"/>
  <c r="W14" i="18"/>
  <c r="X7" i="18"/>
  <c r="W22" i="18"/>
  <c r="W12" i="18"/>
  <c r="W16" i="18"/>
  <c r="W17" i="18"/>
  <c r="W20" i="18"/>
  <c r="W11" i="18"/>
  <c r="W13" i="18"/>
  <c r="W19" i="18"/>
  <c r="W21" i="18"/>
  <c r="X49" i="18" l="1"/>
  <c r="X43" i="18"/>
  <c r="X37" i="18"/>
  <c r="X48" i="18"/>
  <c r="X42" i="18"/>
  <c r="X39" i="18"/>
  <c r="X33" i="18"/>
  <c r="X45" i="18"/>
  <c r="X32" i="18"/>
  <c r="X44" i="18"/>
  <c r="X35" i="18"/>
  <c r="X46" i="18"/>
  <c r="X34" i="18"/>
  <c r="X47" i="18"/>
  <c r="X36" i="18"/>
  <c r="X50" i="18"/>
  <c r="X40" i="18"/>
  <c r="X30" i="18"/>
  <c r="X41" i="18"/>
  <c r="X31" i="18"/>
  <c r="X38" i="18"/>
  <c r="X29" i="18"/>
  <c r="X27" i="18"/>
  <c r="X28" i="18"/>
  <c r="X26" i="18"/>
  <c r="X24" i="18"/>
  <c r="X25" i="18"/>
  <c r="X23" i="18"/>
  <c r="X9" i="18"/>
  <c r="X13" i="18"/>
  <c r="X21" i="18"/>
  <c r="X14" i="18"/>
  <c r="X11" i="18"/>
  <c r="X22" i="18"/>
  <c r="X19" i="18"/>
  <c r="X20" i="18"/>
  <c r="X15" i="18"/>
  <c r="X17" i="18"/>
  <c r="Y7" i="18"/>
  <c r="X12" i="18"/>
  <c r="X16" i="18"/>
  <c r="X18" i="18"/>
  <c r="Y48" i="18" l="1"/>
  <c r="Y42" i="18"/>
  <c r="Y36" i="18"/>
  <c r="Y44" i="18"/>
  <c r="Y32" i="18"/>
  <c r="Y46" i="18"/>
  <c r="Y45" i="18"/>
  <c r="Y35" i="18"/>
  <c r="Y47" i="18"/>
  <c r="Y34" i="18"/>
  <c r="Y37" i="18"/>
  <c r="Y49" i="18"/>
  <c r="Y30" i="18"/>
  <c r="Y41" i="18"/>
  <c r="Y31" i="18"/>
  <c r="Y43" i="18"/>
  <c r="Y38" i="18"/>
  <c r="Y33" i="18"/>
  <c r="Y39" i="18"/>
  <c r="Y50" i="18"/>
  <c r="Y40" i="18"/>
  <c r="Y29" i="18"/>
  <c r="Y27" i="18"/>
  <c r="Y26" i="18"/>
  <c r="Y28" i="18"/>
  <c r="Y25" i="18"/>
  <c r="Y24" i="18"/>
  <c r="Y23" i="18"/>
  <c r="Y22" i="18"/>
  <c r="Y9" i="18"/>
  <c r="Y16" i="18"/>
  <c r="Y17" i="18"/>
  <c r="Y12" i="18"/>
  <c r="Y11" i="18"/>
  <c r="Y19" i="18"/>
  <c r="Z7" i="18"/>
  <c r="Y18" i="18"/>
  <c r="Y21" i="18"/>
  <c r="Y15" i="18"/>
  <c r="Y20" i="18"/>
  <c r="Y13" i="18"/>
  <c r="Y14" i="18"/>
  <c r="Z48" i="18" l="1"/>
  <c r="Z42" i="18"/>
  <c r="Z36" i="18"/>
  <c r="Z47" i="18"/>
  <c r="Z41" i="18"/>
  <c r="Z45" i="18"/>
  <c r="Z35" i="18"/>
  <c r="Z32" i="18"/>
  <c r="Z38" i="18"/>
  <c r="Z46" i="18"/>
  <c r="Z31" i="18"/>
  <c r="Z37" i="18"/>
  <c r="Z44" i="18"/>
  <c r="Z49" i="18"/>
  <c r="Z30" i="18"/>
  <c r="Z34" i="18"/>
  <c r="Z43" i="18"/>
  <c r="Z33" i="18"/>
  <c r="Z39" i="18"/>
  <c r="Z50" i="18"/>
  <c r="Z40" i="18"/>
  <c r="Z29" i="18"/>
  <c r="Z28" i="18"/>
  <c r="Z26" i="18"/>
  <c r="Z27" i="18"/>
  <c r="Z25" i="18"/>
  <c r="Z23" i="18"/>
  <c r="Z24" i="18"/>
  <c r="Z9" i="18"/>
  <c r="Z17" i="18"/>
  <c r="Z19" i="18"/>
  <c r="Z12" i="18"/>
  <c r="Z13" i="18"/>
  <c r="Z22" i="18"/>
  <c r="Z16" i="18"/>
  <c r="Z14" i="18"/>
  <c r="Z15" i="18"/>
  <c r="Z20" i="18"/>
  <c r="Z11" i="18"/>
  <c r="AA7" i="18"/>
  <c r="Z18" i="18"/>
  <c r="Z21" i="18"/>
  <c r="AA47" i="18" l="1"/>
  <c r="AA41" i="18"/>
  <c r="AA35" i="18"/>
  <c r="AA46" i="18"/>
  <c r="AA38" i="18"/>
  <c r="AA31" i="18"/>
  <c r="AA44" i="18"/>
  <c r="AA49" i="18"/>
  <c r="AA36" i="18"/>
  <c r="AA30" i="18"/>
  <c r="AA42" i="18"/>
  <c r="AA32" i="18"/>
  <c r="AA34" i="18"/>
  <c r="AA43" i="18"/>
  <c r="AA37" i="18"/>
  <c r="AA45" i="18"/>
  <c r="AA33" i="18"/>
  <c r="AA39" i="18"/>
  <c r="AA50" i="18"/>
  <c r="AA40" i="18"/>
  <c r="AA48" i="18"/>
  <c r="AA29" i="18"/>
  <c r="AA28" i="18"/>
  <c r="AA26" i="18"/>
  <c r="AA27" i="18"/>
  <c r="AA23" i="18"/>
  <c r="AA24" i="18"/>
  <c r="AA25" i="18"/>
  <c r="AA9" i="18"/>
  <c r="AA13" i="18"/>
  <c r="AB7" i="18"/>
  <c r="AA16" i="18"/>
  <c r="AA14" i="18"/>
  <c r="AA17" i="18"/>
  <c r="AA20" i="18"/>
  <c r="AA12" i="18"/>
  <c r="AA19" i="18"/>
  <c r="AA21" i="18"/>
  <c r="AA11" i="18"/>
  <c r="AA15" i="18"/>
  <c r="AA18" i="18"/>
  <c r="AA22" i="18"/>
  <c r="AB47" i="18" l="1"/>
  <c r="AB41" i="18"/>
  <c r="AB35" i="18"/>
  <c r="AB46" i="18"/>
  <c r="AB38" i="18"/>
  <c r="AB31" i="18"/>
  <c r="AB30" i="18"/>
  <c r="AB49" i="18"/>
  <c r="AB44" i="18"/>
  <c r="AB36" i="18"/>
  <c r="AB42" i="18"/>
  <c r="AB40" i="18"/>
  <c r="AB34" i="18"/>
  <c r="AB45" i="18"/>
  <c r="AB43" i="18"/>
  <c r="AB37" i="18"/>
  <c r="AB33" i="18"/>
  <c r="AB39" i="18"/>
  <c r="AB50" i="18"/>
  <c r="AB48" i="18"/>
  <c r="AB32" i="18"/>
  <c r="AB29" i="18"/>
  <c r="AB28" i="18"/>
  <c r="AB26" i="18"/>
  <c r="AB27" i="18"/>
  <c r="AB25" i="18"/>
  <c r="AB23" i="18"/>
  <c r="AB24" i="18"/>
  <c r="AB9" i="18"/>
  <c r="AB21" i="18"/>
  <c r="AB15" i="18"/>
  <c r="AB19" i="18"/>
  <c r="AB14" i="18"/>
  <c r="AB18" i="18"/>
  <c r="AB22" i="18"/>
  <c r="AC7" i="18"/>
  <c r="AB11" i="18"/>
  <c r="AB20" i="18"/>
  <c r="AB17" i="18"/>
  <c r="AB12" i="18"/>
  <c r="AB13" i="18"/>
  <c r="AB16" i="18"/>
  <c r="AC46" i="18" l="1"/>
  <c r="AC40" i="18"/>
  <c r="AC30" i="18"/>
  <c r="AC47" i="18"/>
  <c r="AC48" i="18"/>
  <c r="AC49" i="18"/>
  <c r="AC44" i="18"/>
  <c r="AC36" i="18"/>
  <c r="AC42" i="18"/>
  <c r="AC39" i="18"/>
  <c r="AC35" i="18"/>
  <c r="AC34" i="18"/>
  <c r="AC45" i="18"/>
  <c r="AC41" i="18"/>
  <c r="AC37" i="18"/>
  <c r="AC33" i="18"/>
  <c r="AC43" i="18"/>
  <c r="AC31" i="18"/>
  <c r="AC38" i="18"/>
  <c r="AC50" i="18"/>
  <c r="AC32" i="18"/>
  <c r="AC29" i="18"/>
  <c r="AC26" i="18"/>
  <c r="AC27" i="18"/>
  <c r="AC28" i="18"/>
  <c r="AC24" i="18"/>
  <c r="AC23" i="18"/>
  <c r="AC25" i="18"/>
  <c r="AC20" i="18"/>
  <c r="AC9" i="18"/>
  <c r="AC19" i="18"/>
  <c r="AC18" i="18"/>
  <c r="AC11" i="18"/>
  <c r="AC17" i="18"/>
  <c r="AC21" i="18"/>
  <c r="AD7" i="18"/>
  <c r="AC13" i="18"/>
  <c r="AC14" i="18"/>
  <c r="AC16" i="18"/>
  <c r="AC22" i="18"/>
  <c r="AC12" i="18"/>
  <c r="AC15" i="18"/>
  <c r="AD46" i="18" l="1"/>
  <c r="AD40" i="18"/>
  <c r="AD45" i="18"/>
  <c r="AD30" i="18"/>
  <c r="AD48" i="18"/>
  <c r="AD37" i="18"/>
  <c r="AD47" i="18"/>
  <c r="AD49" i="18"/>
  <c r="AD36" i="18"/>
  <c r="AD42" i="18"/>
  <c r="AD39" i="18"/>
  <c r="AD50" i="18"/>
  <c r="AD35" i="18"/>
  <c r="AD34" i="18"/>
  <c r="AD43" i="18"/>
  <c r="AD41" i="18"/>
  <c r="AD33" i="18"/>
  <c r="AD38" i="18"/>
  <c r="AD31" i="18"/>
  <c r="AD32" i="18"/>
  <c r="AD44" i="18"/>
  <c r="AD29" i="18"/>
  <c r="AD26" i="18"/>
  <c r="AD27" i="18"/>
  <c r="AD28" i="18"/>
  <c r="AD23" i="18"/>
  <c r="AD24" i="18"/>
  <c r="AD25" i="18"/>
  <c r="AD9" i="18"/>
  <c r="AD6" i="18"/>
  <c r="AD20" i="18"/>
  <c r="AD11" i="18"/>
  <c r="AD16" i="18"/>
  <c r="AD17" i="18"/>
  <c r="AD19" i="18"/>
  <c r="AE7" i="18"/>
  <c r="AD14" i="18"/>
  <c r="AD13" i="18"/>
  <c r="AD18" i="18"/>
  <c r="AD21" i="18"/>
  <c r="AD12" i="18"/>
  <c r="AD15" i="18"/>
  <c r="AD22" i="18"/>
  <c r="AE45" i="18" l="1"/>
  <c r="AE39" i="18"/>
  <c r="AE47" i="18"/>
  <c r="AE49" i="18"/>
  <c r="AE50" i="18"/>
  <c r="AE41" i="18"/>
  <c r="AE40" i="18"/>
  <c r="AE48" i="18"/>
  <c r="AE37" i="18"/>
  <c r="AE42" i="18"/>
  <c r="AE35" i="18"/>
  <c r="AE30" i="18"/>
  <c r="AE31" i="18"/>
  <c r="AE38" i="18"/>
  <c r="AE43" i="18"/>
  <c r="AE33" i="18"/>
  <c r="AE36" i="18"/>
  <c r="AE32" i="18"/>
  <c r="AE44" i="18"/>
  <c r="AE46" i="18"/>
  <c r="AE34" i="18"/>
  <c r="AE29" i="18"/>
  <c r="AE26" i="18"/>
  <c r="AE27" i="18"/>
  <c r="AE28" i="18"/>
  <c r="AE24" i="18"/>
  <c r="AE23" i="18"/>
  <c r="AE25" i="18"/>
  <c r="AE9" i="18"/>
  <c r="AE14" i="18"/>
  <c r="AE11" i="18"/>
  <c r="AE13" i="18"/>
  <c r="AF7" i="18"/>
  <c r="AE16" i="18"/>
  <c r="AE17" i="18"/>
  <c r="AE20" i="18"/>
  <c r="AE15" i="18"/>
  <c r="AE12" i="18"/>
  <c r="AE19" i="18"/>
  <c r="AE21" i="18"/>
  <c r="AE18" i="18"/>
  <c r="AE22" i="18"/>
  <c r="AF45" i="18" l="1"/>
  <c r="AF39" i="18"/>
  <c r="AF50" i="18"/>
  <c r="AF44" i="18"/>
  <c r="AF48" i="18"/>
  <c r="AF37" i="18"/>
  <c r="AF42" i="18"/>
  <c r="AF49" i="18"/>
  <c r="AF41" i="18"/>
  <c r="AF40" i="18"/>
  <c r="AF34" i="18"/>
  <c r="AF30" i="18"/>
  <c r="AF35" i="18"/>
  <c r="AF47" i="18"/>
  <c r="AF31" i="18"/>
  <c r="AF32" i="18"/>
  <c r="AF43" i="18"/>
  <c r="AF33" i="18"/>
  <c r="AF36" i="18"/>
  <c r="AF38" i="18"/>
  <c r="AF46" i="18"/>
  <c r="AF29" i="18"/>
  <c r="AF26" i="18"/>
  <c r="AF27" i="18"/>
  <c r="AF28" i="18"/>
  <c r="AF23" i="18"/>
  <c r="AF24" i="18"/>
  <c r="AF25" i="18"/>
  <c r="AF9" i="18"/>
  <c r="AF18" i="18"/>
  <c r="AF11" i="18"/>
  <c r="AF19" i="18"/>
  <c r="AF16" i="18"/>
  <c r="AG7" i="18"/>
  <c r="AF20" i="18"/>
  <c r="AF21" i="18"/>
  <c r="AF13" i="18"/>
  <c r="AF12" i="18"/>
  <c r="AF22" i="18"/>
  <c r="AF14" i="18"/>
  <c r="AF15" i="18"/>
  <c r="AF17" i="18"/>
  <c r="AG50" i="18" l="1"/>
  <c r="AG44" i="18"/>
  <c r="AG38" i="18"/>
  <c r="AG49" i="18"/>
  <c r="AG43" i="18"/>
  <c r="AG41" i="18"/>
  <c r="AG40" i="18"/>
  <c r="AG34" i="18"/>
  <c r="AG42" i="18"/>
  <c r="AG30" i="18"/>
  <c r="AG31" i="18"/>
  <c r="AG47" i="18"/>
  <c r="AG35" i="18"/>
  <c r="AG39" i="18"/>
  <c r="AG32" i="18"/>
  <c r="AG33" i="18"/>
  <c r="AG45" i="18"/>
  <c r="AG36" i="18"/>
  <c r="AG46" i="18"/>
  <c r="AG37" i="18"/>
  <c r="AG48" i="18"/>
  <c r="AG29" i="18"/>
  <c r="AG26" i="18"/>
  <c r="AG27" i="18"/>
  <c r="AG28" i="18"/>
  <c r="AG24" i="18"/>
  <c r="AG23" i="18"/>
  <c r="AG25" i="18"/>
  <c r="AG9" i="18"/>
  <c r="AG21" i="18"/>
  <c r="AG13" i="18"/>
  <c r="AG12" i="18"/>
  <c r="AG20" i="18"/>
  <c r="AH7" i="18"/>
  <c r="AG22" i="18"/>
  <c r="AG18" i="18"/>
  <c r="AG15" i="18"/>
  <c r="AG16" i="18"/>
  <c r="AG11" i="18"/>
  <c r="AG14" i="18"/>
  <c r="AG17" i="18"/>
  <c r="AG19" i="18"/>
  <c r="AH50" i="18" l="1"/>
  <c r="AH44" i="18"/>
  <c r="AH38" i="18"/>
  <c r="AH49" i="18"/>
  <c r="AH43" i="18"/>
  <c r="AH41" i="18"/>
  <c r="AH40" i="18"/>
  <c r="AH34" i="18"/>
  <c r="AH36" i="18"/>
  <c r="AH33" i="18"/>
  <c r="AH42" i="18"/>
  <c r="AH35" i="18"/>
  <c r="AH31" i="18"/>
  <c r="AH32" i="18"/>
  <c r="AH47" i="18"/>
  <c r="AH39" i="18"/>
  <c r="AH45" i="18"/>
  <c r="AH37" i="18"/>
  <c r="AH48" i="18"/>
  <c r="AH46" i="18"/>
  <c r="AH30" i="18"/>
  <c r="AH29" i="18"/>
  <c r="AH26" i="18"/>
  <c r="AH27" i="18"/>
  <c r="AH28" i="18"/>
  <c r="AH23" i="18"/>
  <c r="AH24" i="18"/>
  <c r="AH25" i="18"/>
  <c r="AH9" i="18"/>
  <c r="AH15" i="18"/>
  <c r="AH20" i="18"/>
  <c r="AH12" i="18"/>
  <c r="AH14" i="18"/>
  <c r="AH19" i="18"/>
  <c r="AH11" i="18"/>
  <c r="AH17" i="18"/>
  <c r="AH16" i="18"/>
  <c r="AH18" i="18"/>
  <c r="AH21" i="18"/>
  <c r="AI7" i="18"/>
  <c r="AH13" i="18"/>
  <c r="AH22" i="18"/>
  <c r="AI49" i="18" l="1"/>
  <c r="AI43" i="18"/>
  <c r="AI37" i="18"/>
  <c r="AI42" i="18"/>
  <c r="AI33" i="18"/>
  <c r="AI36" i="18"/>
  <c r="AI50" i="18"/>
  <c r="AI47" i="18"/>
  <c r="AI39" i="18"/>
  <c r="AI32" i="18"/>
  <c r="AI40" i="18"/>
  <c r="AI45" i="18"/>
  <c r="AI38" i="18"/>
  <c r="AI35" i="18"/>
  <c r="AI41" i="18"/>
  <c r="AI31" i="18"/>
  <c r="AI48" i="18"/>
  <c r="AI46" i="18"/>
  <c r="AI44" i="18"/>
  <c r="AI34" i="18"/>
  <c r="AI30" i="18"/>
  <c r="AI29" i="18"/>
  <c r="AI27" i="18"/>
  <c r="AI28" i="18"/>
  <c r="AI26" i="18"/>
  <c r="AI25" i="18"/>
  <c r="AI24" i="18"/>
  <c r="AI23" i="18"/>
  <c r="AI9" i="18"/>
  <c r="AI11" i="18"/>
  <c r="AI13" i="18"/>
  <c r="AI16" i="18"/>
  <c r="AI14" i="18"/>
  <c r="AI17" i="18"/>
  <c r="AI20" i="18"/>
  <c r="AI15" i="18"/>
  <c r="AJ7" i="18"/>
  <c r="AI19" i="18"/>
  <c r="AI21" i="18"/>
  <c r="AI12" i="18"/>
  <c r="AI18" i="18"/>
  <c r="AI22" i="18"/>
  <c r="AJ49" i="18" l="1"/>
  <c r="AJ43" i="18"/>
  <c r="AJ37" i="18"/>
  <c r="AJ48" i="18"/>
  <c r="AJ42" i="18"/>
  <c r="AJ36" i="18"/>
  <c r="AJ33" i="18"/>
  <c r="AJ50" i="18"/>
  <c r="AJ39" i="18"/>
  <c r="AJ32" i="18"/>
  <c r="AJ40" i="18"/>
  <c r="AJ38" i="18"/>
  <c r="AJ45" i="18"/>
  <c r="AJ34" i="18"/>
  <c r="AJ47" i="18"/>
  <c r="AJ31" i="18"/>
  <c r="AJ41" i="18"/>
  <c r="AJ46" i="18"/>
  <c r="AJ44" i="18"/>
  <c r="AJ30" i="18"/>
  <c r="AJ35" i="18"/>
  <c r="AJ29" i="18"/>
  <c r="AJ26" i="18"/>
  <c r="AJ27" i="18"/>
  <c r="AJ28" i="18"/>
  <c r="AJ24" i="18"/>
  <c r="AJ25" i="18"/>
  <c r="AJ23" i="18"/>
  <c r="AJ9" i="18"/>
  <c r="AJ15" i="18"/>
  <c r="AJ18" i="18"/>
  <c r="AJ13" i="18"/>
  <c r="AJ19" i="18"/>
  <c r="AJ21" i="18"/>
  <c r="AJ22" i="18"/>
  <c r="AJ12" i="18"/>
  <c r="AJ11" i="18"/>
  <c r="AJ17" i="18"/>
  <c r="AK7" i="18"/>
  <c r="AJ14" i="18"/>
  <c r="AJ16" i="18"/>
  <c r="AJ20" i="18"/>
  <c r="AK48" i="18" l="1"/>
  <c r="AK42" i="18"/>
  <c r="AK36" i="18"/>
  <c r="AK50" i="18"/>
  <c r="AK44" i="18"/>
  <c r="AK39" i="18"/>
  <c r="AK32" i="18"/>
  <c r="AK43" i="18"/>
  <c r="AK45" i="18"/>
  <c r="AK38" i="18"/>
  <c r="AK40" i="18"/>
  <c r="AK33" i="18"/>
  <c r="AK34" i="18"/>
  <c r="AK41" i="18"/>
  <c r="AK31" i="18"/>
  <c r="AK46" i="18"/>
  <c r="AK47" i="18"/>
  <c r="AK37" i="18"/>
  <c r="AK49" i="18"/>
  <c r="AK30" i="18"/>
  <c r="AK35" i="18"/>
  <c r="AK29" i="18"/>
  <c r="AK27" i="18"/>
  <c r="AK28" i="18"/>
  <c r="AK26" i="18"/>
  <c r="AK25" i="18"/>
  <c r="AK23" i="18"/>
  <c r="AK24" i="18"/>
  <c r="AK9" i="18"/>
  <c r="AK6" i="18"/>
  <c r="AK11" i="18"/>
  <c r="AK16" i="18"/>
  <c r="AK22" i="18"/>
  <c r="AK12" i="18"/>
  <c r="AK17" i="18"/>
  <c r="AK18" i="18"/>
  <c r="AK20" i="18"/>
  <c r="AK21" i="18"/>
  <c r="AL7" i="18"/>
  <c r="AK13" i="18"/>
  <c r="AK14" i="18"/>
  <c r="AK15" i="18"/>
  <c r="AK19" i="18"/>
  <c r="AL48" i="18" l="1"/>
  <c r="AL42" i="18"/>
  <c r="AL36" i="18"/>
  <c r="AL47" i="18"/>
  <c r="AL41" i="18"/>
  <c r="AL39" i="18"/>
  <c r="AL32" i="18"/>
  <c r="AL35" i="18"/>
  <c r="AL31" i="18"/>
  <c r="AL45" i="18"/>
  <c r="AL43" i="18"/>
  <c r="AL44" i="18"/>
  <c r="AL40" i="18"/>
  <c r="AL38" i="18"/>
  <c r="AL33" i="18"/>
  <c r="AL50" i="18"/>
  <c r="AL34" i="18"/>
  <c r="AL46" i="18"/>
  <c r="AL37" i="18"/>
  <c r="AL49" i="18"/>
  <c r="AL30" i="18"/>
  <c r="AL29" i="18"/>
  <c r="AL28" i="18"/>
  <c r="AL26" i="18"/>
  <c r="AL27" i="18"/>
  <c r="AL25" i="18"/>
  <c r="AL23" i="18"/>
  <c r="AL24" i="18"/>
  <c r="AL9" i="18"/>
  <c r="AM7" i="18"/>
  <c r="AL14" i="18"/>
  <c r="AL16" i="18"/>
  <c r="AL17" i="18"/>
  <c r="AL21" i="18"/>
  <c r="AL13" i="18"/>
  <c r="AL22" i="18"/>
  <c r="AL11" i="18"/>
  <c r="AL18" i="18"/>
  <c r="AL12" i="18"/>
  <c r="AL15" i="18"/>
  <c r="AL20" i="18"/>
  <c r="AL19" i="18"/>
  <c r="AM47" i="18" l="1"/>
  <c r="AM41" i="18"/>
  <c r="AM35" i="18"/>
  <c r="AM43" i="18"/>
  <c r="AM31" i="18"/>
  <c r="AM46" i="18"/>
  <c r="AM44" i="18"/>
  <c r="AM45" i="18"/>
  <c r="AM38" i="18"/>
  <c r="AM33" i="18"/>
  <c r="AM34" i="18"/>
  <c r="AM50" i="18"/>
  <c r="AM48" i="18"/>
  <c r="AM37" i="18"/>
  <c r="AM36" i="18"/>
  <c r="AM39" i="18"/>
  <c r="AM42" i="18"/>
  <c r="AM49" i="18"/>
  <c r="AM30" i="18"/>
  <c r="AM32" i="18"/>
  <c r="AM40" i="18"/>
  <c r="AM29" i="18"/>
  <c r="AM26" i="18"/>
  <c r="AM28" i="18"/>
  <c r="AM27" i="18"/>
  <c r="AM23" i="18"/>
  <c r="AM25" i="18"/>
  <c r="AM24" i="18"/>
  <c r="AM9" i="18"/>
  <c r="AM18" i="18"/>
  <c r="AM22" i="18"/>
  <c r="AM20" i="18"/>
  <c r="AM21" i="18"/>
  <c r="AM11" i="18"/>
  <c r="AM12" i="18"/>
  <c r="AM13" i="18"/>
  <c r="AM16" i="18"/>
  <c r="AM14" i="18"/>
  <c r="AM19" i="18"/>
  <c r="AM15" i="18"/>
  <c r="AN7" i="18"/>
  <c r="AM17" i="18"/>
  <c r="AN47" i="18" l="1"/>
  <c r="AN41" i="18"/>
  <c r="AN35" i="18"/>
  <c r="AN46" i="18"/>
  <c r="AN44" i="18"/>
  <c r="AN31" i="18"/>
  <c r="AN45" i="18"/>
  <c r="AN38" i="18"/>
  <c r="AN30" i="18"/>
  <c r="AN34" i="18"/>
  <c r="AN43" i="18"/>
  <c r="AN50" i="18"/>
  <c r="AN48" i="18"/>
  <c r="AN37" i="18"/>
  <c r="AN49" i="18"/>
  <c r="AN33" i="18"/>
  <c r="AN39" i="18"/>
  <c r="AN32" i="18"/>
  <c r="AN40" i="18"/>
  <c r="AN42" i="18"/>
  <c r="AN36" i="18"/>
  <c r="AN29" i="18"/>
  <c r="AN28" i="18"/>
  <c r="AN26" i="18"/>
  <c r="AN27" i="18"/>
  <c r="AN25" i="18"/>
  <c r="AN23" i="18"/>
  <c r="AN24" i="18"/>
  <c r="AN9" i="18"/>
  <c r="AN12" i="18"/>
  <c r="AN13" i="18"/>
  <c r="AN11" i="18"/>
  <c r="AN22" i="18"/>
  <c r="AN15" i="18"/>
  <c r="AN16" i="18"/>
  <c r="AN18" i="18"/>
  <c r="AN21" i="18"/>
  <c r="AN19" i="18"/>
  <c r="AN20" i="18"/>
  <c r="AO7" i="18"/>
  <c r="AN14" i="18"/>
  <c r="AN17" i="18"/>
  <c r="AO46" i="18" l="1"/>
  <c r="AO40" i="18"/>
  <c r="AO45" i="18"/>
  <c r="AO38" i="18"/>
  <c r="AO35" i="18"/>
  <c r="AO30" i="18"/>
  <c r="AO50" i="18"/>
  <c r="AO43" i="18"/>
  <c r="AO48" i="18"/>
  <c r="AO37" i="18"/>
  <c r="AO41" i="18"/>
  <c r="AO47" i="18"/>
  <c r="AO33" i="18"/>
  <c r="AO31" i="18"/>
  <c r="AO34" i="18"/>
  <c r="AO39" i="18"/>
  <c r="AO32" i="18"/>
  <c r="AO44" i="18"/>
  <c r="AO42" i="18"/>
  <c r="AO36" i="18"/>
  <c r="AO49" i="18"/>
  <c r="AO29" i="18"/>
  <c r="AO26" i="18"/>
  <c r="AO27" i="18"/>
  <c r="AO28" i="18"/>
  <c r="AO23" i="18"/>
  <c r="AO25" i="18"/>
  <c r="AO24" i="18"/>
  <c r="AO9" i="18"/>
  <c r="AO13" i="18"/>
  <c r="AO16" i="18"/>
  <c r="AO15" i="18"/>
  <c r="AO17" i="18"/>
  <c r="AP7" i="18"/>
  <c r="AO12" i="18"/>
  <c r="AO18" i="18"/>
  <c r="AO22" i="18"/>
  <c r="AO11" i="18"/>
  <c r="AO14" i="18"/>
  <c r="AO21" i="18"/>
  <c r="AO20" i="18"/>
  <c r="AO19" i="18"/>
  <c r="AP46" i="18" l="1"/>
  <c r="AP40" i="18"/>
  <c r="AP45" i="18"/>
  <c r="AP38" i="18"/>
  <c r="AP35" i="18"/>
  <c r="AP30" i="18"/>
  <c r="AP48" i="18"/>
  <c r="AP43" i="18"/>
  <c r="AP37" i="18"/>
  <c r="AP41" i="18"/>
  <c r="AP39" i="18"/>
  <c r="AP32" i="18"/>
  <c r="AP44" i="18"/>
  <c r="AP42" i="18"/>
  <c r="AP36" i="18"/>
  <c r="AP50" i="18"/>
  <c r="AP34" i="18"/>
  <c r="AP49" i="18"/>
  <c r="AP47" i="18"/>
  <c r="AP33" i="18"/>
  <c r="AP31" i="18"/>
  <c r="AP29" i="18"/>
  <c r="AP28" i="18"/>
  <c r="AP26" i="18"/>
  <c r="AP27" i="18"/>
  <c r="AP23" i="18"/>
  <c r="AP24" i="18"/>
  <c r="AP25" i="18"/>
  <c r="AP9" i="18"/>
  <c r="AQ7" i="18"/>
  <c r="AP12" i="18"/>
  <c r="AP18" i="18"/>
  <c r="AP20" i="18"/>
  <c r="AP19" i="18"/>
  <c r="AP21" i="18"/>
  <c r="AP17" i="18"/>
  <c r="AP22" i="18"/>
  <c r="AP14" i="18"/>
  <c r="AP13" i="18"/>
  <c r="AP11" i="18"/>
  <c r="AP16" i="18"/>
  <c r="AP15" i="18"/>
  <c r="AQ45" i="18" l="1"/>
  <c r="AQ39" i="18"/>
  <c r="AQ47" i="18"/>
  <c r="AQ46" i="18"/>
  <c r="AQ48" i="18"/>
  <c r="AQ43" i="18"/>
  <c r="AQ37" i="18"/>
  <c r="AQ41" i="18"/>
  <c r="AQ36" i="18"/>
  <c r="AQ32" i="18"/>
  <c r="AQ44" i="18"/>
  <c r="AQ49" i="18"/>
  <c r="AQ35" i="18"/>
  <c r="AQ38" i="18"/>
  <c r="AQ50" i="18"/>
  <c r="AQ42" i="18"/>
  <c r="AQ30" i="18"/>
  <c r="AQ40" i="18"/>
  <c r="AQ34" i="18"/>
  <c r="AQ33" i="18"/>
  <c r="AQ31" i="18"/>
  <c r="AQ18" i="18"/>
  <c r="AQ16" i="18"/>
  <c r="AQ29" i="18"/>
  <c r="AQ20" i="18"/>
  <c r="AQ19" i="18"/>
  <c r="AQ27" i="18"/>
  <c r="AQ26" i="18"/>
  <c r="AQ28" i="18"/>
  <c r="AQ17" i="18"/>
  <c r="AQ22" i="18"/>
  <c r="AQ25" i="18"/>
  <c r="AQ23" i="18"/>
  <c r="AQ24" i="18"/>
  <c r="AR7" i="18"/>
  <c r="AQ12" i="18"/>
  <c r="AQ15" i="18"/>
  <c r="AQ14" i="18"/>
  <c r="AQ21" i="18"/>
  <c r="AQ11" i="18"/>
  <c r="AQ9" i="18"/>
  <c r="AQ13" i="18"/>
  <c r="AR45" i="18" l="1"/>
  <c r="AR39" i="18"/>
  <c r="AR50" i="18"/>
  <c r="AR44" i="18"/>
  <c r="AR34" i="18"/>
  <c r="AR48" i="18"/>
  <c r="AR46" i="18"/>
  <c r="AR47" i="18"/>
  <c r="AR37" i="18"/>
  <c r="AR36" i="18"/>
  <c r="AR41" i="18"/>
  <c r="AR49" i="18"/>
  <c r="AR43" i="18"/>
  <c r="AR40" i="18"/>
  <c r="AR38" i="18"/>
  <c r="AR32" i="18"/>
  <c r="AR42" i="18"/>
  <c r="AR30" i="18"/>
  <c r="AR35" i="18"/>
  <c r="AR33" i="18"/>
  <c r="AR31" i="18"/>
  <c r="AR29" i="18"/>
  <c r="AR21" i="18"/>
  <c r="AR26" i="18"/>
  <c r="AR27" i="18"/>
  <c r="AR28" i="18"/>
  <c r="AR15" i="18"/>
  <c r="AR13" i="18"/>
  <c r="AR18" i="18"/>
  <c r="AR20" i="18"/>
  <c r="AR19" i="18"/>
  <c r="AR17" i="18"/>
  <c r="AR16" i="18"/>
  <c r="AR23" i="18"/>
  <c r="AR24" i="18"/>
  <c r="AR25" i="18"/>
  <c r="AR14" i="18"/>
  <c r="AR22" i="18"/>
  <c r="AS7" i="18"/>
  <c r="AR12" i="18"/>
  <c r="AR9" i="18"/>
  <c r="AR11" i="18"/>
  <c r="AR6" i="18"/>
  <c r="AS50" i="18" l="1"/>
  <c r="AS44" i="18"/>
  <c r="AS38" i="18"/>
  <c r="AS46" i="18"/>
  <c r="AS34" i="18"/>
  <c r="AS49" i="18"/>
  <c r="AS47" i="18"/>
  <c r="AS37" i="18"/>
  <c r="AS48" i="18"/>
  <c r="AS40" i="18"/>
  <c r="AS41" i="18"/>
  <c r="AS36" i="18"/>
  <c r="AS30" i="18"/>
  <c r="AS42" i="18"/>
  <c r="AS45" i="18"/>
  <c r="AS39" i="18"/>
  <c r="AS32" i="18"/>
  <c r="AS35" i="18"/>
  <c r="AS33" i="18"/>
  <c r="AS31" i="18"/>
  <c r="AS43" i="18"/>
  <c r="AS29" i="18"/>
  <c r="AS12" i="18"/>
  <c r="AS11" i="18"/>
  <c r="AS21" i="18"/>
  <c r="AS26" i="18"/>
  <c r="AS27" i="18"/>
  <c r="AS28" i="18"/>
  <c r="AS14" i="18"/>
  <c r="AS18" i="18"/>
  <c r="AS16" i="18"/>
  <c r="AS17" i="18"/>
  <c r="AS15" i="18"/>
  <c r="AS9" i="18"/>
  <c r="AS23" i="18"/>
  <c r="AS24" i="18"/>
  <c r="AS25" i="18"/>
  <c r="AS20" i="18"/>
  <c r="AS19" i="18"/>
  <c r="AS13" i="18"/>
  <c r="AS22" i="18"/>
  <c r="AT7" i="18"/>
  <c r="AT50" i="18" l="1"/>
  <c r="AT44" i="18"/>
  <c r="AT38" i="18"/>
  <c r="AT49" i="18"/>
  <c r="AT43" i="18"/>
  <c r="AT47" i="18"/>
  <c r="AT37" i="18"/>
  <c r="AT34" i="18"/>
  <c r="AT40" i="18"/>
  <c r="AT48" i="18"/>
  <c r="AT33" i="18"/>
  <c r="AT41" i="18"/>
  <c r="AT36" i="18"/>
  <c r="AT30" i="18"/>
  <c r="AT46" i="18"/>
  <c r="AT31" i="18"/>
  <c r="AT42" i="18"/>
  <c r="AT45" i="18"/>
  <c r="AT39" i="18"/>
  <c r="AT32" i="18"/>
  <c r="AT35" i="18"/>
  <c r="AT11" i="18"/>
  <c r="AT29" i="18"/>
  <c r="AT16" i="18"/>
  <c r="AT14" i="18"/>
  <c r="AT22" i="18"/>
  <c r="AT9" i="18"/>
  <c r="AT26" i="18"/>
  <c r="AT27" i="18"/>
  <c r="AT28" i="18"/>
  <c r="AU7" i="18"/>
  <c r="AT12" i="18"/>
  <c r="AU23" i="18"/>
  <c r="AT24" i="18"/>
  <c r="AT23" i="18"/>
  <c r="AT25" i="18"/>
  <c r="AT18" i="18"/>
  <c r="AT17" i="18"/>
  <c r="AT15" i="18"/>
  <c r="AT20" i="18"/>
  <c r="AT13" i="18"/>
  <c r="AT19" i="18"/>
  <c r="AT21" i="18"/>
  <c r="AU25" i="18" l="1"/>
  <c r="AU49" i="18"/>
  <c r="AU43" i="18"/>
  <c r="AU37" i="18"/>
  <c r="AU48" i="18"/>
  <c r="AU41" i="18"/>
  <c r="AU40" i="18"/>
  <c r="AU33" i="18"/>
  <c r="AU42" i="18"/>
  <c r="AU36" i="18"/>
  <c r="AU46" i="18"/>
  <c r="AU31" i="18"/>
  <c r="AU32" i="18"/>
  <c r="AU30" i="18"/>
  <c r="AU44" i="18"/>
  <c r="AU35" i="18"/>
  <c r="AU38" i="18"/>
  <c r="AU50" i="18"/>
  <c r="AU34" i="18"/>
  <c r="AU47" i="18"/>
  <c r="AU45" i="18"/>
  <c r="AU39" i="18"/>
  <c r="AU22" i="18"/>
  <c r="AU9" i="18"/>
  <c r="AU24" i="18"/>
  <c r="AU18" i="18"/>
  <c r="AU20" i="18"/>
  <c r="AU21" i="18"/>
  <c r="AV7" i="18"/>
  <c r="AU29" i="18"/>
  <c r="AU11" i="18"/>
  <c r="AU13" i="18"/>
  <c r="AU15" i="18"/>
  <c r="AU12" i="18"/>
  <c r="AU16" i="18"/>
  <c r="AU27" i="18"/>
  <c r="AU28" i="18"/>
  <c r="AU26" i="18"/>
  <c r="AU19" i="18"/>
  <c r="AU14" i="18"/>
  <c r="AU17" i="18"/>
  <c r="AV49" i="18" l="1"/>
  <c r="AV43" i="18"/>
  <c r="AV37" i="18"/>
  <c r="AV48" i="18"/>
  <c r="AV42" i="18"/>
  <c r="AV40" i="18"/>
  <c r="AV33" i="18"/>
  <c r="AV32" i="18"/>
  <c r="AV41" i="18"/>
  <c r="AV36" i="18"/>
  <c r="AV30" i="18"/>
  <c r="AV46" i="18"/>
  <c r="AV31" i="18"/>
  <c r="AV44" i="18"/>
  <c r="AV35" i="18"/>
  <c r="AV39" i="18"/>
  <c r="AV50" i="18"/>
  <c r="AV34" i="18"/>
  <c r="AV47" i="18"/>
  <c r="AV45" i="18"/>
  <c r="AV38" i="18"/>
  <c r="AV23" i="18"/>
  <c r="AV21" i="18"/>
  <c r="AV18" i="18"/>
  <c r="AV17" i="18"/>
  <c r="AV25" i="18"/>
  <c r="AV19" i="18"/>
  <c r="AV24" i="18"/>
  <c r="AW7" i="18"/>
  <c r="AV11" i="18"/>
  <c r="AV15" i="18"/>
  <c r="AV16" i="18"/>
  <c r="AV20" i="18"/>
  <c r="AV22" i="18"/>
  <c r="AV12" i="18"/>
  <c r="AV26" i="18"/>
  <c r="AV13" i="18"/>
  <c r="AV28" i="18"/>
  <c r="AV14" i="18"/>
  <c r="AV9" i="18"/>
  <c r="AV27" i="18"/>
  <c r="AV29" i="18"/>
  <c r="AW48" i="18" l="1"/>
  <c r="AW42" i="18"/>
  <c r="AW36" i="18"/>
  <c r="AW41" i="18"/>
  <c r="AW32" i="18"/>
  <c r="AW49" i="18"/>
  <c r="AW50" i="18"/>
  <c r="AW39" i="18"/>
  <c r="AW46" i="18"/>
  <c r="AW31" i="18"/>
  <c r="AW44" i="18"/>
  <c r="AW35" i="18"/>
  <c r="AW30" i="18"/>
  <c r="AW40" i="18"/>
  <c r="AW34" i="18"/>
  <c r="AW33" i="18"/>
  <c r="AW47" i="18"/>
  <c r="AW45" i="18"/>
  <c r="AW43" i="18"/>
  <c r="AW38" i="18"/>
  <c r="AW37" i="18"/>
  <c r="AW13" i="18"/>
  <c r="AW16" i="18"/>
  <c r="AW17" i="18"/>
  <c r="AW27" i="18"/>
  <c r="AW19" i="18"/>
  <c r="AX7" i="18"/>
  <c r="AW29" i="18"/>
  <c r="AW11" i="18"/>
  <c r="AW24" i="18"/>
  <c r="AW20" i="18"/>
  <c r="AW25" i="18"/>
  <c r="AW14" i="18"/>
  <c r="AW23" i="18"/>
  <c r="AW22" i="18"/>
  <c r="AW26" i="18"/>
  <c r="AW12" i="18"/>
  <c r="AW21" i="18"/>
  <c r="AW18" i="18"/>
  <c r="AW9" i="18"/>
  <c r="AW15" i="18"/>
  <c r="AW28" i="18"/>
  <c r="AX48" i="18" l="1"/>
  <c r="AX42" i="18"/>
  <c r="AX36" i="18"/>
  <c r="AX47" i="18"/>
  <c r="AX41" i="18"/>
  <c r="AX32" i="18"/>
  <c r="AX50" i="18"/>
  <c r="AX39" i="18"/>
  <c r="AX49" i="18"/>
  <c r="AX31" i="18"/>
  <c r="AX35" i="18"/>
  <c r="AX44" i="18"/>
  <c r="AX33" i="18"/>
  <c r="AX30" i="18"/>
  <c r="AX46" i="18"/>
  <c r="AX43" i="18"/>
  <c r="AX38" i="18"/>
  <c r="AX40" i="18"/>
  <c r="AX34" i="18"/>
  <c r="AX45" i="18"/>
  <c r="AX37" i="18"/>
  <c r="AX26" i="18"/>
  <c r="AX21" i="18"/>
  <c r="AX22" i="18"/>
  <c r="AX28" i="18"/>
  <c r="AX29" i="18"/>
  <c r="AX11" i="18"/>
  <c r="AX18" i="18"/>
  <c r="AX20" i="18"/>
  <c r="AX19" i="18"/>
  <c r="AX12" i="18"/>
  <c r="AX9" i="18"/>
  <c r="AX17" i="18"/>
  <c r="AX24" i="18"/>
  <c r="AY7" i="18"/>
  <c r="AX16" i="18"/>
  <c r="AX25" i="18"/>
  <c r="AX27" i="18"/>
  <c r="AX23" i="18"/>
  <c r="AX14" i="18"/>
  <c r="AX13" i="18"/>
  <c r="AX15" i="18"/>
  <c r="AY47" i="18" l="1"/>
  <c r="AY41" i="18"/>
  <c r="AY35" i="18"/>
  <c r="AY49" i="18"/>
  <c r="AY42" i="18"/>
  <c r="AY50" i="18"/>
  <c r="AY39" i="18"/>
  <c r="AY36" i="18"/>
  <c r="AY31" i="18"/>
  <c r="AY43" i="18"/>
  <c r="AY44" i="18"/>
  <c r="AY32" i="18"/>
  <c r="AY33" i="18"/>
  <c r="AY34" i="18"/>
  <c r="AY30" i="18"/>
  <c r="AY40" i="18"/>
  <c r="AY48" i="18"/>
  <c r="AY37" i="18"/>
  <c r="AY46" i="18"/>
  <c r="AY45" i="18"/>
  <c r="AY38" i="18"/>
  <c r="AY12" i="18"/>
  <c r="AY16" i="18"/>
  <c r="AY9" i="18"/>
  <c r="AY6" i="18"/>
  <c r="AY24" i="18"/>
  <c r="AY25" i="18"/>
  <c r="AY13" i="18"/>
  <c r="AZ7" i="18"/>
  <c r="AY11" i="18"/>
  <c r="AY17" i="18"/>
  <c r="AY19" i="18"/>
  <c r="AY14" i="18"/>
  <c r="AY28" i="18"/>
  <c r="AY27" i="18"/>
  <c r="AY18" i="18"/>
  <c r="AY20" i="18"/>
  <c r="AY21" i="18"/>
  <c r="AY29" i="18"/>
  <c r="AY23" i="18"/>
  <c r="AY26" i="18"/>
  <c r="AY15" i="18"/>
  <c r="AY22" i="18"/>
  <c r="AZ47" i="18" l="1"/>
  <c r="AZ41" i="18"/>
  <c r="AZ35" i="18"/>
  <c r="AZ46" i="18"/>
  <c r="AZ40" i="18"/>
  <c r="AZ50" i="18"/>
  <c r="AZ39" i="18"/>
  <c r="AZ36" i="18"/>
  <c r="AZ31" i="18"/>
  <c r="AZ43" i="18"/>
  <c r="AZ30" i="18"/>
  <c r="AZ42" i="18"/>
  <c r="AZ44" i="18"/>
  <c r="AZ33" i="18"/>
  <c r="AZ49" i="18"/>
  <c r="AZ34" i="18"/>
  <c r="AZ32" i="18"/>
  <c r="AZ45" i="18"/>
  <c r="AZ38" i="18"/>
  <c r="AZ48" i="18"/>
  <c r="AZ37" i="18"/>
  <c r="AZ17" i="18"/>
  <c r="AZ21" i="18"/>
  <c r="AZ13" i="18"/>
  <c r="AZ22" i="18"/>
  <c r="AZ27" i="18"/>
  <c r="AZ26" i="18"/>
  <c r="AZ28" i="18"/>
  <c r="AZ25" i="18"/>
  <c r="AZ15" i="18"/>
  <c r="AZ29" i="18"/>
  <c r="AZ16" i="18"/>
  <c r="AZ20" i="18"/>
  <c r="AZ18" i="18"/>
  <c r="AZ19" i="18"/>
  <c r="AZ12" i="18"/>
  <c r="BA7" i="18"/>
  <c r="AZ9" i="18"/>
  <c r="AZ11" i="18"/>
  <c r="AZ24" i="18"/>
  <c r="AZ14" i="18"/>
  <c r="AZ23" i="18"/>
  <c r="BA46" i="18" l="1"/>
  <c r="BA40" i="18"/>
  <c r="BA34" i="18"/>
  <c r="BA42" i="18"/>
  <c r="BA30" i="18"/>
  <c r="BA44" i="18"/>
  <c r="BA43" i="18"/>
  <c r="BA45" i="18"/>
  <c r="BA35" i="18"/>
  <c r="BA32" i="18"/>
  <c r="BA49" i="18"/>
  <c r="BA39" i="18"/>
  <c r="BA33" i="18"/>
  <c r="BA38" i="18"/>
  <c r="BA47" i="18"/>
  <c r="BA50" i="18"/>
  <c r="BA48" i="18"/>
  <c r="BA37" i="18"/>
  <c r="BA31" i="18"/>
  <c r="BA36" i="18"/>
  <c r="BA41" i="18"/>
  <c r="BA13" i="18"/>
  <c r="BA25" i="18"/>
  <c r="BA14" i="18"/>
  <c r="BA17" i="18"/>
  <c r="BA23" i="18"/>
  <c r="BA20" i="18"/>
  <c r="BA24" i="18"/>
  <c r="BA26" i="18"/>
  <c r="BA22" i="18"/>
  <c r="BA15" i="18"/>
  <c r="BA28" i="18"/>
  <c r="BA29" i="18"/>
  <c r="BA19" i="18"/>
  <c r="BA18" i="18"/>
  <c r="BA27" i="18"/>
  <c r="BA16" i="18"/>
  <c r="BB7" i="18"/>
  <c r="BA12" i="18"/>
  <c r="BA21" i="18"/>
  <c r="BA11" i="18"/>
  <c r="BA9" i="18"/>
  <c r="BB46" i="18" l="1"/>
  <c r="BB40" i="18"/>
  <c r="BB34" i="18"/>
  <c r="BB45" i="18"/>
  <c r="BB43" i="18"/>
  <c r="BB30" i="18"/>
  <c r="BB38" i="18"/>
  <c r="BB44" i="18"/>
  <c r="BB35" i="18"/>
  <c r="BB33" i="18"/>
  <c r="BB39" i="18"/>
  <c r="BB42" i="18"/>
  <c r="BB49" i="18"/>
  <c r="BB47" i="18"/>
  <c r="BB31" i="18"/>
  <c r="BB50" i="18"/>
  <c r="BB48" i="18"/>
  <c r="BB37" i="18"/>
  <c r="BB36" i="18"/>
  <c r="BB41" i="18"/>
  <c r="BB32" i="18"/>
  <c r="BB26" i="18"/>
  <c r="BB18" i="18"/>
  <c r="BB21" i="18"/>
  <c r="BB20" i="18"/>
  <c r="BB27" i="18"/>
  <c r="BB19" i="18"/>
  <c r="BB16" i="18"/>
  <c r="BB22" i="18"/>
  <c r="BB12" i="18"/>
  <c r="BC7" i="18"/>
  <c r="BC23" i="18" s="1"/>
  <c r="BB25" i="18"/>
  <c r="BB14" i="18"/>
  <c r="BB24" i="18"/>
  <c r="BB17" i="18"/>
  <c r="BB29" i="18"/>
  <c r="BB11" i="18"/>
  <c r="BB9" i="18"/>
  <c r="BB23" i="18"/>
  <c r="BB13" i="18"/>
  <c r="BB28" i="18"/>
  <c r="BB15" i="18"/>
  <c r="BC45" i="18" l="1"/>
  <c r="BC39" i="18"/>
  <c r="BC44" i="18"/>
  <c r="BC35" i="18"/>
  <c r="BC38" i="18"/>
  <c r="BC49" i="18"/>
  <c r="BC42" i="18"/>
  <c r="BC34" i="18"/>
  <c r="BC47" i="18"/>
  <c r="BC40" i="18"/>
  <c r="BC50" i="18"/>
  <c r="BC30" i="18"/>
  <c r="BC33" i="18"/>
  <c r="BC48" i="18"/>
  <c r="BC46" i="18"/>
  <c r="BC37" i="18"/>
  <c r="BC31" i="18"/>
  <c r="BC36" i="18"/>
  <c r="BC43" i="18"/>
  <c r="BC41" i="18"/>
  <c r="BC32" i="18"/>
  <c r="BC28" i="18"/>
  <c r="BC26" i="18"/>
  <c r="BC19" i="18"/>
  <c r="BC27" i="18"/>
  <c r="BC16" i="18"/>
  <c r="BC24" i="18"/>
  <c r="BC13" i="18"/>
  <c r="BC14" i="18"/>
  <c r="BC17" i="18"/>
  <c r="BC20" i="18"/>
  <c r="BC18" i="18"/>
  <c r="BC21" i="18"/>
  <c r="BC29" i="18"/>
  <c r="BC11" i="18"/>
  <c r="BC22" i="18"/>
  <c r="BC15" i="18"/>
  <c r="BD7" i="18"/>
  <c r="BC9" i="18"/>
  <c r="BC12" i="18"/>
  <c r="BC25" i="18"/>
  <c r="BD45" i="18" l="1"/>
  <c r="BD39" i="18"/>
  <c r="BD50" i="18"/>
  <c r="BD44" i="18"/>
  <c r="BD38" i="18"/>
  <c r="BD35" i="18"/>
  <c r="BD47" i="18"/>
  <c r="BD42" i="18"/>
  <c r="BD34" i="18"/>
  <c r="BD40" i="18"/>
  <c r="BD37" i="18"/>
  <c r="BD48" i="18"/>
  <c r="BD31" i="18"/>
  <c r="BD46" i="18"/>
  <c r="BD36" i="18"/>
  <c r="BD33" i="18"/>
  <c r="BD43" i="18"/>
  <c r="BD49" i="18"/>
  <c r="BD41" i="18"/>
  <c r="BD32" i="18"/>
  <c r="BD30" i="18"/>
  <c r="BD26" i="18"/>
  <c r="BD17" i="18"/>
  <c r="BD19" i="18"/>
  <c r="BD14" i="18"/>
  <c r="BD20" i="18"/>
  <c r="BD9" i="18"/>
  <c r="BD12" i="18"/>
  <c r="BD13" i="18"/>
  <c r="BD11" i="18"/>
  <c r="BD23" i="18"/>
  <c r="BD22" i="18"/>
  <c r="BD21" i="18"/>
  <c r="BD24" i="18"/>
  <c r="BD16" i="18"/>
  <c r="BD28" i="18"/>
  <c r="BD29" i="18"/>
  <c r="BE7" i="18"/>
  <c r="BE28" i="18" s="1"/>
  <c r="BD25" i="18"/>
  <c r="BD15" i="18"/>
  <c r="BD27" i="18"/>
  <c r="BD18" i="18"/>
  <c r="BE21" i="18" l="1"/>
  <c r="BE50" i="18"/>
  <c r="BE44" i="18"/>
  <c r="BE38" i="18"/>
  <c r="BE45" i="18"/>
  <c r="BE46" i="18"/>
  <c r="BE47" i="18"/>
  <c r="BE42" i="18"/>
  <c r="BE34" i="18"/>
  <c r="BE37" i="18"/>
  <c r="BE39" i="18"/>
  <c r="BE40" i="18"/>
  <c r="BE31" i="18"/>
  <c r="BE49" i="18"/>
  <c r="BE36" i="18"/>
  <c r="BE33" i="18"/>
  <c r="BE35" i="18"/>
  <c r="BE43" i="18"/>
  <c r="BE41" i="18"/>
  <c r="BE32" i="18"/>
  <c r="BE30" i="18"/>
  <c r="BE48" i="18"/>
  <c r="BE27" i="18"/>
  <c r="BE16" i="18"/>
  <c r="BE17" i="18"/>
  <c r="BE20" i="18"/>
  <c r="BE26" i="18"/>
  <c r="BE29" i="18"/>
  <c r="BE19" i="18"/>
  <c r="BF7" i="18"/>
  <c r="BE9" i="18"/>
  <c r="BE12" i="18"/>
  <c r="BE13" i="18"/>
  <c r="BE22" i="18"/>
  <c r="BE18" i="18"/>
  <c r="BE23" i="18"/>
  <c r="BE11" i="18"/>
  <c r="BE14" i="18"/>
  <c r="BE24" i="18"/>
  <c r="BE25" i="18"/>
  <c r="BE15" i="18"/>
  <c r="BF20" i="18" l="1"/>
  <c r="BF50" i="18"/>
  <c r="BF44" i="18"/>
  <c r="BF38" i="18"/>
  <c r="BF49" i="18"/>
  <c r="BF43" i="18"/>
  <c r="BF46" i="18"/>
  <c r="BF37" i="18"/>
  <c r="BF33" i="18"/>
  <c r="BF45" i="18"/>
  <c r="BF34" i="18"/>
  <c r="BF47" i="18"/>
  <c r="BF39" i="18"/>
  <c r="BF40" i="18"/>
  <c r="BF48" i="18"/>
  <c r="BF36" i="18"/>
  <c r="BF42" i="18"/>
  <c r="BF31" i="18"/>
  <c r="BF35" i="18"/>
  <c r="BF41" i="18"/>
  <c r="BF32" i="18"/>
  <c r="BF30" i="18"/>
  <c r="BF18" i="18"/>
  <c r="BF22" i="18"/>
  <c r="BF17" i="18"/>
  <c r="BF14" i="18"/>
  <c r="BF23" i="18"/>
  <c r="BF24" i="18"/>
  <c r="BF25" i="18"/>
  <c r="BF27" i="18"/>
  <c r="BF11" i="18"/>
  <c r="BF28" i="18"/>
  <c r="BF16" i="18"/>
  <c r="BF26" i="18"/>
  <c r="BF13" i="18"/>
  <c r="BF15" i="18"/>
  <c r="BF29" i="18"/>
  <c r="BF19" i="18"/>
  <c r="BF21" i="18"/>
  <c r="BG7" i="18"/>
  <c r="BG24" i="18" s="1"/>
  <c r="BF9" i="18"/>
  <c r="BF12" i="18"/>
  <c r="BF6" i="18"/>
  <c r="BG18" i="18" l="1"/>
  <c r="BG23" i="18"/>
  <c r="BG49" i="18"/>
  <c r="BG43" i="18"/>
  <c r="BG37" i="18"/>
  <c r="BG45" i="18"/>
  <c r="BG33" i="18"/>
  <c r="BG47" i="18"/>
  <c r="BG46" i="18"/>
  <c r="BG34" i="18"/>
  <c r="BG48" i="18"/>
  <c r="BG40" i="18"/>
  <c r="BG38" i="18"/>
  <c r="BG50" i="18"/>
  <c r="BG31" i="18"/>
  <c r="BG36" i="18"/>
  <c r="BG44" i="18"/>
  <c r="BG35" i="18"/>
  <c r="BG41" i="18"/>
  <c r="BG32" i="18"/>
  <c r="BG42" i="18"/>
  <c r="BG30" i="18"/>
  <c r="BG39" i="18"/>
  <c r="BG17" i="18"/>
  <c r="BG26" i="18"/>
  <c r="BH7" i="18"/>
  <c r="BG27" i="18"/>
  <c r="BG12" i="18"/>
  <c r="BG29" i="18"/>
  <c r="BG16" i="18"/>
  <c r="BG25" i="18"/>
  <c r="BG28" i="18"/>
  <c r="BG15" i="18"/>
  <c r="BG14" i="18"/>
  <c r="BG20" i="18"/>
  <c r="BG22" i="18"/>
  <c r="BG21" i="18"/>
  <c r="BG19" i="18"/>
  <c r="BG11" i="18"/>
  <c r="BG13" i="18"/>
  <c r="BG9" i="18"/>
  <c r="BH29" i="18" l="1"/>
  <c r="BH49" i="18"/>
  <c r="BH43" i="18"/>
  <c r="BH37" i="18"/>
  <c r="BH48" i="18"/>
  <c r="BH42" i="18"/>
  <c r="BH46" i="18"/>
  <c r="BH34" i="18"/>
  <c r="BH33" i="18"/>
  <c r="BH40" i="18"/>
  <c r="BH47" i="18"/>
  <c r="BH32" i="18"/>
  <c r="BH45" i="18"/>
  <c r="BH38" i="18"/>
  <c r="BH50" i="18"/>
  <c r="BH30" i="18"/>
  <c r="BH41" i="18"/>
  <c r="BH36" i="18"/>
  <c r="BH31" i="18"/>
  <c r="BH35" i="18"/>
  <c r="BH39" i="18"/>
  <c r="BH44" i="18"/>
  <c r="BH14" i="18"/>
  <c r="BI7" i="18"/>
  <c r="BI14" i="18" s="1"/>
  <c r="BH11" i="18"/>
  <c r="BH13" i="18"/>
  <c r="BH12" i="18"/>
  <c r="BH15" i="18"/>
  <c r="BH23" i="18"/>
  <c r="BH25" i="18"/>
  <c r="BH22" i="18"/>
  <c r="BH9" i="18"/>
  <c r="BH24" i="18"/>
  <c r="BH18" i="18"/>
  <c r="BH26" i="18"/>
  <c r="BH27" i="18"/>
  <c r="BH20" i="18"/>
  <c r="BH19" i="18"/>
  <c r="BH28" i="18"/>
  <c r="BH16" i="18"/>
  <c r="BH17" i="18"/>
  <c r="BH21" i="18"/>
  <c r="BI48" i="18" l="1"/>
  <c r="BI42" i="18"/>
  <c r="BI36" i="18"/>
  <c r="BI47" i="18"/>
  <c r="BI41" i="18"/>
  <c r="BI37" i="18"/>
  <c r="BI32" i="18"/>
  <c r="BI40" i="18"/>
  <c r="BI38" i="18"/>
  <c r="BI50" i="18"/>
  <c r="BI45" i="18"/>
  <c r="BI30" i="18"/>
  <c r="BI31" i="18"/>
  <c r="BI43" i="18"/>
  <c r="BI46" i="18"/>
  <c r="BI34" i="18"/>
  <c r="BI44" i="18"/>
  <c r="BI35" i="18"/>
  <c r="BI33" i="18"/>
  <c r="BI49" i="18"/>
  <c r="BI39" i="18"/>
  <c r="BI17" i="18"/>
  <c r="BI16" i="18"/>
  <c r="BJ7" i="18"/>
  <c r="BJ23" i="18" s="1"/>
  <c r="BI19" i="18"/>
  <c r="BI11" i="18"/>
  <c r="BI20" i="18"/>
  <c r="BI21" i="18"/>
  <c r="BI12" i="18"/>
  <c r="BI13" i="18"/>
  <c r="BI22" i="18"/>
  <c r="BI9" i="18"/>
  <c r="BI23" i="18"/>
  <c r="BI24" i="18"/>
  <c r="BI25" i="18"/>
  <c r="BI15" i="18"/>
  <c r="BI28" i="18"/>
  <c r="BI18" i="18"/>
  <c r="BI26" i="18"/>
  <c r="BI27" i="18"/>
  <c r="BI29" i="18"/>
  <c r="BJ12" i="18" l="1"/>
  <c r="BJ48" i="18"/>
  <c r="BJ42" i="18"/>
  <c r="BJ36" i="18"/>
  <c r="BJ47" i="18"/>
  <c r="BJ41" i="18"/>
  <c r="BJ37" i="18"/>
  <c r="BJ32" i="18"/>
  <c r="BJ31" i="18"/>
  <c r="BJ40" i="18"/>
  <c r="BJ30" i="18"/>
  <c r="BJ50" i="18"/>
  <c r="BJ45" i="18"/>
  <c r="BJ43" i="18"/>
  <c r="BJ44" i="18"/>
  <c r="BJ35" i="18"/>
  <c r="BJ34" i="18"/>
  <c r="BJ33" i="18"/>
  <c r="BJ49" i="18"/>
  <c r="BJ39" i="18"/>
  <c r="BJ38" i="18"/>
  <c r="BJ46" i="18"/>
  <c r="BJ16" i="18"/>
  <c r="BJ14" i="18"/>
  <c r="BJ17" i="18"/>
  <c r="BJ27" i="18"/>
  <c r="BJ13" i="18"/>
  <c r="BJ15" i="18"/>
  <c r="BJ28" i="18"/>
  <c r="BJ21" i="18"/>
  <c r="BJ24" i="18"/>
  <c r="BJ25" i="18"/>
  <c r="BJ26" i="18"/>
  <c r="BJ18" i="18"/>
  <c r="BJ29" i="18"/>
  <c r="BJ20" i="18"/>
  <c r="BJ19" i="18"/>
  <c r="BJ11" i="18"/>
  <c r="BJ22" i="18"/>
  <c r="BK7" i="18"/>
  <c r="BK9" i="18" s="1"/>
  <c r="BJ9" i="18"/>
  <c r="BK24" i="18"/>
  <c r="BK25" i="18"/>
  <c r="BK23" i="18" l="1"/>
  <c r="BK27" i="18"/>
  <c r="BK26" i="18"/>
  <c r="BK28" i="18"/>
  <c r="BK29" i="18"/>
  <c r="BK15" i="18"/>
  <c r="BK11" i="18"/>
  <c r="BL7" i="18"/>
  <c r="BL35" i="18" s="1"/>
  <c r="BK12" i="18"/>
  <c r="BK16" i="18"/>
  <c r="BK14" i="18"/>
  <c r="BK19" i="18"/>
  <c r="BK17" i="18"/>
  <c r="BK18" i="18"/>
  <c r="BK20" i="18"/>
  <c r="BK47" i="18"/>
  <c r="BK41" i="18"/>
  <c r="BK35" i="18"/>
  <c r="BK40" i="18"/>
  <c r="BK31" i="18"/>
  <c r="BK48" i="18"/>
  <c r="BK39" i="18"/>
  <c r="BK49" i="18"/>
  <c r="BK50" i="18"/>
  <c r="BK45" i="18"/>
  <c r="BK30" i="18"/>
  <c r="BK37" i="18"/>
  <c r="BK43" i="18"/>
  <c r="BK36" i="18"/>
  <c r="BK42" i="18"/>
  <c r="BK34" i="18"/>
  <c r="BK38" i="18"/>
  <c r="BK33" i="18"/>
  <c r="BK32" i="18"/>
  <c r="BK46" i="18"/>
  <c r="BK44" i="18"/>
  <c r="BK21" i="18"/>
  <c r="BK13" i="18"/>
  <c r="BK22" i="18"/>
  <c r="BL47" i="18" l="1"/>
  <c r="BL12" i="18"/>
  <c r="BL13" i="18"/>
  <c r="BL15" i="18"/>
  <c r="BL16" i="18"/>
  <c r="BL17" i="18"/>
  <c r="BL20" i="18"/>
  <c r="BL41" i="18"/>
  <c r="BL21" i="18"/>
  <c r="BL22" i="18"/>
  <c r="BL9" i="18"/>
  <c r="BL24" i="18"/>
  <c r="BL23" i="18"/>
  <c r="BL25" i="18"/>
  <c r="BL14" i="18"/>
  <c r="BL26" i="18"/>
  <c r="BL11" i="18"/>
  <c r="BL27" i="18"/>
  <c r="BL18" i="18"/>
  <c r="BL28" i="18"/>
  <c r="BL19" i="18"/>
  <c r="BL29" i="18"/>
  <c r="BM7" i="18"/>
  <c r="BM19" i="18" s="1"/>
  <c r="BL34" i="18"/>
  <c r="BL45" i="18"/>
  <c r="BL38" i="18"/>
  <c r="BL37" i="18"/>
  <c r="BL43" i="18"/>
  <c r="BL30" i="18"/>
  <c r="BL39" i="18"/>
  <c r="BL48" i="18"/>
  <c r="BL50" i="18"/>
  <c r="BL36" i="18"/>
  <c r="BL49" i="18"/>
  <c r="BL42" i="18"/>
  <c r="BL31" i="18"/>
  <c r="BL44" i="18"/>
  <c r="BL40" i="18"/>
  <c r="BL32" i="18"/>
  <c r="BL46" i="18"/>
  <c r="BL33" i="18"/>
  <c r="BM18" i="18" l="1"/>
  <c r="BM13" i="18"/>
  <c r="BM16" i="18"/>
  <c r="BM30" i="18"/>
  <c r="BM36" i="18"/>
  <c r="BM39" i="18"/>
  <c r="BM49" i="18"/>
  <c r="BM17" i="18"/>
  <c r="BM42" i="18"/>
  <c r="BM47" i="18"/>
  <c r="BM38" i="18"/>
  <c r="BM40" i="18"/>
  <c r="BM45" i="18"/>
  <c r="BM32" i="18"/>
  <c r="BM35" i="18"/>
  <c r="BM48" i="18"/>
  <c r="BM34" i="18"/>
  <c r="BM15" i="18"/>
  <c r="BM44" i="18"/>
  <c r="BM26" i="18"/>
  <c r="BM29" i="18"/>
  <c r="BM27" i="18"/>
  <c r="BM33" i="18"/>
  <c r="BM24" i="18"/>
  <c r="BM23" i="18"/>
  <c r="BM31" i="18"/>
  <c r="BM12" i="18"/>
  <c r="BM28" i="18"/>
  <c r="BM37" i="18"/>
  <c r="BM46" i="18"/>
  <c r="BM20" i="18"/>
  <c r="BM14" i="18"/>
  <c r="BM43" i="18"/>
  <c r="BM21" i="18"/>
  <c r="BM11" i="18"/>
  <c r="BM9" i="18"/>
  <c r="BM41" i="18"/>
  <c r="BM22" i="18"/>
  <c r="BM25" i="18"/>
  <c r="BM50" i="18"/>
  <c r="BN7" i="18"/>
  <c r="BN34" i="18" s="1"/>
  <c r="BN18" i="18" l="1"/>
  <c r="BN49" i="18"/>
  <c r="BN19" i="18"/>
  <c r="BN13" i="18"/>
  <c r="BN16" i="18"/>
  <c r="BN22" i="18"/>
  <c r="BN29" i="18"/>
  <c r="BN42" i="18"/>
  <c r="BN31" i="18"/>
  <c r="BN50" i="18"/>
  <c r="BN11" i="18"/>
  <c r="BN23" i="18"/>
  <c r="BN21" i="18"/>
  <c r="BN17" i="18"/>
  <c r="BN40" i="18"/>
  <c r="BN48" i="18"/>
  <c r="BN27" i="18"/>
  <c r="BN37" i="18"/>
  <c r="BN32" i="18"/>
  <c r="BN33" i="18"/>
  <c r="BN25" i="18"/>
  <c r="BN45" i="18"/>
  <c r="BN36" i="18"/>
  <c r="BN14" i="18"/>
  <c r="BO7" i="18"/>
  <c r="BO32" i="18" s="1"/>
  <c r="BN9" i="18"/>
  <c r="BN44" i="18"/>
  <c r="BN12" i="18"/>
  <c r="BN43" i="18"/>
  <c r="BN35" i="18"/>
  <c r="BN24" i="18"/>
  <c r="BN47" i="18"/>
  <c r="BN38" i="18"/>
  <c r="BN30" i="18"/>
  <c r="BN46" i="18"/>
  <c r="BN15" i="18"/>
  <c r="BN20" i="18"/>
  <c r="BN26" i="18"/>
  <c r="BN41" i="18"/>
  <c r="BN28" i="18"/>
  <c r="BN39" i="18"/>
  <c r="BO12" i="18" l="1"/>
  <c r="BO16" i="18"/>
  <c r="BO21" i="18"/>
  <c r="BO35" i="18"/>
  <c r="BO29" i="18"/>
  <c r="BO39" i="18"/>
  <c r="BO15" i="18"/>
  <c r="BO45" i="18"/>
  <c r="BO30" i="18"/>
  <c r="BO42" i="18"/>
  <c r="BO28" i="18"/>
  <c r="BO18" i="18"/>
  <c r="BO17" i="18"/>
  <c r="BO33" i="18"/>
  <c r="BO11" i="18"/>
  <c r="BO27" i="18"/>
  <c r="BO41" i="18"/>
  <c r="BO24" i="18"/>
  <c r="BO20" i="18"/>
  <c r="BO44" i="18"/>
  <c r="BO34" i="18"/>
  <c r="BO50" i="18"/>
  <c r="BO14" i="18"/>
  <c r="BO26" i="18"/>
  <c r="BO49" i="18"/>
  <c r="BO13" i="18"/>
  <c r="BO36" i="18"/>
  <c r="BO25" i="18"/>
  <c r="BO22" i="18"/>
  <c r="BO38" i="18"/>
  <c r="BO23" i="18"/>
  <c r="BO43" i="18"/>
  <c r="BO48" i="18"/>
  <c r="BO46" i="18"/>
  <c r="BO37" i="18"/>
  <c r="BP7" i="18"/>
  <c r="BP44" i="18" s="1"/>
  <c r="BO47" i="18"/>
  <c r="BO40" i="18"/>
  <c r="BO9" i="18"/>
  <c r="BO19" i="18"/>
  <c r="BO31" i="18"/>
  <c r="BP30" i="18" l="1"/>
  <c r="BP34" i="18"/>
  <c r="BP47" i="18"/>
  <c r="BP12" i="18"/>
  <c r="BP15" i="18"/>
  <c r="BP35" i="18"/>
  <c r="BP16" i="18"/>
  <c r="BP43" i="18"/>
  <c r="BP38" i="18"/>
  <c r="BP24" i="18"/>
  <c r="BP11" i="18"/>
  <c r="BP32" i="18"/>
  <c r="BQ7" i="18"/>
  <c r="BQ49" i="18" s="1"/>
  <c r="BP18" i="18"/>
  <c r="BP26" i="18"/>
  <c r="BP31" i="18"/>
  <c r="BP29" i="18"/>
  <c r="BP41" i="18"/>
  <c r="BP48" i="18"/>
  <c r="BP33" i="18"/>
  <c r="BP14" i="18"/>
  <c r="BP37" i="18"/>
  <c r="BP20" i="18"/>
  <c r="BP23" i="18"/>
  <c r="BP27" i="18"/>
  <c r="BP17" i="18"/>
  <c r="BP39" i="18"/>
  <c r="BP45" i="18"/>
  <c r="BP50" i="18"/>
  <c r="BP22" i="18"/>
  <c r="BP46" i="18"/>
  <c r="BP36" i="18"/>
  <c r="BP40" i="18"/>
  <c r="BP42" i="18"/>
  <c r="BP21" i="18"/>
  <c r="BP25" i="18"/>
  <c r="BP19" i="18"/>
  <c r="BP49" i="18"/>
  <c r="BP9" i="18"/>
  <c r="BP13" i="18"/>
  <c r="BP28" i="18"/>
  <c r="BQ47" i="18" l="1"/>
  <c r="BQ29" i="18"/>
  <c r="BQ42" i="18"/>
  <c r="BQ11" i="18"/>
  <c r="BQ28" i="18"/>
  <c r="BQ9" i="18"/>
  <c r="BQ21" i="18"/>
  <c r="BQ23" i="18"/>
  <c r="BQ22" i="18"/>
  <c r="BQ32" i="18"/>
  <c r="BQ12" i="18"/>
  <c r="BQ38" i="18"/>
  <c r="BQ26" i="18"/>
  <c r="BQ44" i="18"/>
  <c r="BQ19" i="18"/>
  <c r="BQ16" i="18"/>
  <c r="BQ18" i="18"/>
  <c r="BQ39" i="18"/>
  <c r="BQ36" i="18"/>
  <c r="BQ34" i="18"/>
  <c r="BQ45" i="18"/>
  <c r="BQ35" i="18"/>
  <c r="BQ33" i="18"/>
  <c r="BQ27" i="18"/>
  <c r="BQ14" i="18"/>
  <c r="BQ13" i="18"/>
  <c r="BQ40" i="18"/>
  <c r="BQ46" i="18"/>
  <c r="BQ15" i="18"/>
  <c r="BQ48" i="18"/>
  <c r="BQ25" i="18"/>
  <c r="BR7" i="18"/>
  <c r="BR19" i="18" s="1"/>
  <c r="BQ37" i="18"/>
  <c r="BQ31" i="18"/>
  <c r="BQ30" i="18"/>
  <c r="BQ41" i="18"/>
  <c r="BQ43" i="18"/>
  <c r="BQ50" i="18"/>
  <c r="BQ24" i="18"/>
  <c r="BQ17" i="18"/>
  <c r="BQ20" i="18"/>
  <c r="BR45" i="18" l="1"/>
  <c r="BR37" i="18"/>
  <c r="BR43" i="18"/>
  <c r="BS7" i="18"/>
  <c r="BR17" i="18"/>
  <c r="BR11" i="18"/>
  <c r="BR9" i="18"/>
  <c r="BR29" i="18"/>
  <c r="BR38" i="18"/>
  <c r="BR14" i="18"/>
  <c r="BR31" i="18"/>
  <c r="BR34" i="18"/>
  <c r="BR41" i="18"/>
  <c r="BR20" i="18"/>
  <c r="BR13" i="18"/>
  <c r="BR30" i="18"/>
  <c r="BR47" i="18"/>
  <c r="BR49" i="18"/>
  <c r="BR35" i="18"/>
  <c r="BR33" i="18"/>
  <c r="BR22" i="18"/>
  <c r="BR50" i="18"/>
  <c r="BR28" i="18"/>
  <c r="BR26" i="18"/>
  <c r="BR27" i="18"/>
  <c r="BR21" i="18"/>
  <c r="BR24" i="18"/>
  <c r="BR36" i="18"/>
  <c r="BR25" i="18"/>
  <c r="BR23" i="18"/>
  <c r="BR39" i="18"/>
  <c r="BR40" i="18"/>
  <c r="BR46" i="18"/>
  <c r="BR32" i="18"/>
  <c r="BR48" i="18"/>
  <c r="BR12" i="18"/>
  <c r="BR16" i="18"/>
  <c r="BR15" i="18"/>
  <c r="BR42" i="18"/>
  <c r="BR18" i="18"/>
  <c r="BR44" i="18"/>
  <c r="BS16" i="18" l="1"/>
  <c r="BS25" i="18"/>
  <c r="BS19" i="18"/>
  <c r="BS34" i="18"/>
  <c r="BS20" i="18"/>
  <c r="BS15" i="18"/>
  <c r="BS14" i="18"/>
  <c r="BS18" i="18"/>
  <c r="BS28" i="18"/>
  <c r="BS21" i="18"/>
  <c r="BS27" i="18"/>
  <c r="BS38" i="18"/>
  <c r="BS31" i="18"/>
  <c r="BS12" i="18"/>
  <c r="BS37" i="18"/>
  <c r="BS48" i="18"/>
  <c r="BS46" i="18"/>
  <c r="BS50" i="18"/>
  <c r="BS29" i="18"/>
  <c r="BS49" i="18"/>
  <c r="BS32" i="18"/>
  <c r="BS41" i="18"/>
  <c r="BS26" i="18"/>
  <c r="BS24" i="18"/>
  <c r="BS45" i="18"/>
  <c r="BS43" i="18"/>
  <c r="BS30" i="18"/>
  <c r="BS40" i="18"/>
  <c r="BS44" i="18"/>
  <c r="BS35" i="18"/>
  <c r="BS39" i="18"/>
  <c r="BT7" i="18"/>
  <c r="BS36" i="18"/>
  <c r="BS13" i="18"/>
  <c r="BS11" i="18"/>
  <c r="BS42" i="18"/>
  <c r="BS9" i="18"/>
  <c r="BS23" i="18"/>
  <c r="BS17" i="18"/>
  <c r="BS33" i="18"/>
  <c r="BS47" i="18"/>
  <c r="BS22" i="18"/>
  <c r="BT49" i="18" l="1"/>
  <c r="BT12" i="18"/>
  <c r="BT26" i="18"/>
  <c r="BT21" i="18"/>
  <c r="BT39" i="18"/>
  <c r="BT48" i="18"/>
  <c r="BT40" i="18"/>
  <c r="BT47" i="18"/>
  <c r="BT13" i="18"/>
  <c r="BT36" i="18"/>
  <c r="BT29" i="18"/>
  <c r="BT33" i="18"/>
  <c r="BT14" i="18"/>
  <c r="BT18" i="18"/>
  <c r="BT9" i="18"/>
  <c r="BT11" i="18"/>
  <c r="BT35" i="18"/>
  <c r="BT20" i="18"/>
  <c r="BT27" i="18"/>
  <c r="BT24" i="18"/>
  <c r="BT31" i="18"/>
  <c r="BT41" i="18"/>
  <c r="BT30" i="18"/>
  <c r="BT22" i="18"/>
  <c r="BT28" i="18"/>
  <c r="BU7" i="18"/>
  <c r="BT42" i="18"/>
  <c r="BT25" i="18"/>
  <c r="BT15" i="18"/>
  <c r="BT23" i="18"/>
  <c r="BT32" i="18"/>
  <c r="BT37" i="18"/>
  <c r="BT17" i="18"/>
  <c r="BT50" i="18"/>
  <c r="BT38" i="18"/>
  <c r="BT45" i="18"/>
  <c r="BT34" i="18"/>
  <c r="BT16" i="18"/>
  <c r="BT46" i="18"/>
  <c r="BT44" i="18"/>
  <c r="BT19" i="18"/>
  <c r="BT43" i="18"/>
  <c r="BU46" i="18" l="1"/>
  <c r="BU48" i="18"/>
  <c r="BU28" i="18"/>
  <c r="BU43" i="18"/>
  <c r="BU20" i="18"/>
  <c r="BU41" i="18"/>
  <c r="BU17" i="18"/>
  <c r="BU12" i="18"/>
  <c r="BU30" i="18"/>
  <c r="BU11" i="18"/>
  <c r="BU19" i="18"/>
  <c r="BU34" i="18"/>
  <c r="BU26" i="18"/>
  <c r="BU15" i="18"/>
  <c r="BU32" i="18"/>
  <c r="BU45" i="18"/>
  <c r="BU24" i="18"/>
  <c r="BU13" i="18"/>
  <c r="BU37" i="18"/>
  <c r="BU22" i="18"/>
  <c r="BU36" i="18"/>
  <c r="BU38" i="18"/>
  <c r="BU16" i="18"/>
  <c r="BU21" i="18"/>
  <c r="BU40" i="18"/>
  <c r="BU33" i="18"/>
  <c r="BU27" i="18"/>
  <c r="BU35" i="18"/>
  <c r="BU47" i="18"/>
  <c r="BU14" i="18"/>
  <c r="BU18" i="18"/>
  <c r="BU50" i="18"/>
  <c r="BU29" i="18"/>
  <c r="BU23" i="18"/>
  <c r="BU42" i="18"/>
  <c r="BU9" i="18"/>
  <c r="BU44" i="18"/>
  <c r="BU49" i="18"/>
  <c r="BU25" i="18"/>
  <c r="BU31" i="18"/>
  <c r="BU39" i="18"/>
  <c r="BV7" i="18"/>
  <c r="BV43" i="18" l="1"/>
  <c r="BV46" i="18"/>
  <c r="BV16" i="18"/>
  <c r="BV13" i="18"/>
  <c r="BV9" i="18"/>
  <c r="BV49" i="18"/>
  <c r="BV27" i="18"/>
  <c r="BV39" i="18"/>
  <c r="BV22" i="18"/>
  <c r="BV24" i="18"/>
  <c r="BV40" i="18"/>
  <c r="BV12" i="18"/>
  <c r="BV11" i="18"/>
  <c r="BV29" i="18"/>
  <c r="BV34" i="18"/>
  <c r="BV41" i="18"/>
  <c r="BV15" i="18"/>
  <c r="BV17" i="18"/>
  <c r="BV25" i="18"/>
  <c r="BV28" i="18"/>
  <c r="BV45" i="18"/>
  <c r="BV44" i="18"/>
  <c r="BV37" i="18"/>
  <c r="BV14" i="18"/>
  <c r="BV38" i="18"/>
  <c r="BW7" i="18"/>
  <c r="BV35" i="18"/>
  <c r="BV19" i="18"/>
  <c r="BV47" i="18"/>
  <c r="BV31" i="18"/>
  <c r="BV36" i="18"/>
  <c r="BV48" i="18"/>
  <c r="BV23" i="18"/>
  <c r="BV30" i="18"/>
  <c r="BV50" i="18"/>
  <c r="BV18" i="18"/>
  <c r="BV21" i="18"/>
  <c r="BV42" i="18"/>
  <c r="BV26" i="18"/>
  <c r="BV32" i="18"/>
  <c r="BV20" i="18"/>
  <c r="BV33" i="18"/>
  <c r="BW50" i="18" l="1"/>
  <c r="BW45" i="18"/>
  <c r="BW17" i="18"/>
  <c r="BW28" i="18"/>
  <c r="BW9" i="18"/>
  <c r="BW49" i="18"/>
  <c r="BW16" i="18"/>
  <c r="BX7" i="18"/>
  <c r="BW40" i="18"/>
  <c r="BW19" i="18"/>
  <c r="BW12" i="18"/>
  <c r="BW38" i="18"/>
  <c r="BW37" i="18"/>
  <c r="BW25" i="18"/>
  <c r="BW44" i="18"/>
  <c r="BW20" i="18"/>
  <c r="BW35" i="18"/>
  <c r="BW31" i="18"/>
  <c r="BW15" i="18"/>
  <c r="BW30" i="18"/>
  <c r="BW22" i="18"/>
  <c r="BW13" i="18"/>
  <c r="BW41" i="18"/>
  <c r="BW18" i="18"/>
  <c r="BW32" i="18"/>
  <c r="BW34" i="18"/>
  <c r="BW47" i="18"/>
  <c r="BW33" i="18"/>
  <c r="BW46" i="18"/>
  <c r="BW42" i="18"/>
  <c r="BW14" i="18"/>
  <c r="BW39" i="18"/>
  <c r="BW29" i="18"/>
  <c r="BW23" i="18"/>
  <c r="BW24" i="18"/>
  <c r="BW26" i="18"/>
  <c r="BW48" i="18"/>
  <c r="BW11" i="18"/>
  <c r="BW21" i="18"/>
  <c r="BW36" i="18"/>
  <c r="BW27" i="18"/>
  <c r="BW43" i="18"/>
  <c r="BX50" i="18" l="1"/>
  <c r="BX27" i="18"/>
  <c r="BX33" i="18"/>
  <c r="BX48" i="18"/>
  <c r="BX21" i="18"/>
  <c r="BX28" i="18"/>
  <c r="BX42" i="18"/>
  <c r="BX26" i="18"/>
  <c r="BX34" i="18"/>
  <c r="BX43" i="18"/>
  <c r="BX47" i="18"/>
  <c r="BX15" i="18"/>
  <c r="BX36" i="18"/>
  <c r="BX12" i="18"/>
  <c r="BX41" i="18"/>
  <c r="BX22" i="18"/>
  <c r="BX13" i="18"/>
  <c r="BX32" i="18"/>
  <c r="BX40" i="18"/>
  <c r="BX23" i="18"/>
  <c r="BX11" i="18"/>
  <c r="BX49" i="18"/>
  <c r="BX44" i="18"/>
  <c r="BX19" i="18"/>
  <c r="BX38" i="18"/>
  <c r="BX9" i="18"/>
  <c r="BX30" i="18"/>
  <c r="BX17" i="18"/>
  <c r="BX37" i="18"/>
  <c r="BX45" i="18"/>
  <c r="BX18" i="18"/>
  <c r="BX35" i="18"/>
  <c r="BX29" i="18"/>
  <c r="BY7" i="18"/>
  <c r="BX39" i="18"/>
  <c r="BX24" i="18"/>
  <c r="BX46" i="18"/>
  <c r="BX14" i="18"/>
  <c r="BX25" i="18"/>
  <c r="BX31" i="18"/>
  <c r="BX16" i="18"/>
  <c r="BX20" i="18"/>
  <c r="BY32" i="18" l="1"/>
  <c r="BY18" i="18"/>
  <c r="BY15" i="18"/>
  <c r="BY43" i="18"/>
  <c r="BY33" i="18"/>
  <c r="BY47" i="18"/>
  <c r="BY41" i="18"/>
  <c r="BY27" i="18"/>
  <c r="BY29" i="18"/>
  <c r="BY34" i="18"/>
  <c r="BY36" i="18"/>
  <c r="BY26" i="18"/>
  <c r="BY9" i="18"/>
  <c r="BY12" i="18"/>
  <c r="BY23" i="18"/>
  <c r="BZ7" i="18"/>
  <c r="BY48" i="18"/>
  <c r="BY20" i="18"/>
  <c r="BY24" i="18"/>
  <c r="BY17" i="18"/>
  <c r="BY37" i="18"/>
  <c r="BY11" i="18"/>
  <c r="BY25" i="18"/>
  <c r="BY21" i="18"/>
  <c r="BY22" i="18"/>
  <c r="BY19" i="18"/>
  <c r="BY39" i="18"/>
  <c r="BY38" i="18"/>
  <c r="BY46" i="18"/>
  <c r="BY44" i="18"/>
  <c r="BY31" i="18"/>
  <c r="BY16" i="18"/>
  <c r="BY50" i="18"/>
  <c r="BY14" i="18"/>
  <c r="BY28" i="18"/>
  <c r="BY49" i="18"/>
  <c r="BY13" i="18"/>
  <c r="BY30" i="18"/>
  <c r="BY42" i="18"/>
  <c r="BY35" i="18"/>
  <c r="BY45" i="18"/>
  <c r="BY40" i="18"/>
  <c r="BZ32" i="18" l="1"/>
  <c r="BZ9" i="18"/>
  <c r="BZ39" i="18"/>
  <c r="BZ25" i="18"/>
  <c r="BZ23" i="18"/>
  <c r="BZ50" i="18"/>
  <c r="BZ33" i="18"/>
  <c r="BZ24" i="18"/>
  <c r="BZ38" i="18"/>
  <c r="BZ31" i="18"/>
  <c r="BZ29" i="18"/>
  <c r="BZ43" i="18"/>
  <c r="BZ28" i="18"/>
  <c r="BZ26" i="18"/>
  <c r="BZ34" i="18"/>
  <c r="BZ22" i="18"/>
  <c r="BZ20" i="18"/>
  <c r="BZ36" i="18"/>
  <c r="BZ17" i="18"/>
  <c r="BZ15" i="18"/>
  <c r="BZ18" i="18"/>
  <c r="BZ40" i="18"/>
  <c r="CA7" i="18"/>
  <c r="BZ42" i="18"/>
  <c r="BZ12" i="18"/>
  <c r="BZ11" i="18"/>
  <c r="BZ21" i="18"/>
  <c r="BZ41" i="18"/>
  <c r="BZ45" i="18"/>
  <c r="BZ49" i="18"/>
  <c r="BZ14" i="18"/>
  <c r="BZ47" i="18"/>
  <c r="BZ27" i="18"/>
  <c r="BZ44" i="18"/>
  <c r="BZ46" i="18"/>
  <c r="BZ37" i="18"/>
  <c r="BZ30" i="18"/>
  <c r="BZ13" i="18"/>
  <c r="BZ35" i="18"/>
  <c r="BZ16" i="18"/>
  <c r="BZ19" i="18"/>
  <c r="BZ48" i="18"/>
  <c r="CA33" i="18" l="1"/>
  <c r="CA13" i="18"/>
  <c r="CA41" i="18"/>
  <c r="CA37" i="18"/>
  <c r="CA36" i="18"/>
  <c r="CA19" i="18"/>
  <c r="CA24" i="18"/>
  <c r="CA27" i="18"/>
  <c r="CA39" i="18"/>
  <c r="CA48" i="18"/>
  <c r="CA21" i="18"/>
  <c r="CA29" i="18"/>
  <c r="CA47" i="18"/>
  <c r="CA15" i="18"/>
  <c r="CA28" i="18"/>
  <c r="CA45" i="18"/>
  <c r="CA35" i="18"/>
  <c r="CA43" i="18"/>
  <c r="CA34" i="18"/>
  <c r="CA12" i="18"/>
  <c r="CA16" i="18"/>
  <c r="CB7" i="18"/>
  <c r="CA20" i="18"/>
  <c r="CA42" i="18"/>
  <c r="CA46" i="18"/>
  <c r="CA30" i="18"/>
  <c r="CA14" i="18"/>
  <c r="CA40" i="18"/>
  <c r="CA22" i="18"/>
  <c r="CA11" i="18"/>
  <c r="CA9" i="18"/>
  <c r="CA44" i="18"/>
  <c r="CA49" i="18"/>
  <c r="CA17" i="18"/>
  <c r="CA31" i="18"/>
  <c r="CA38" i="18"/>
  <c r="CA25" i="18"/>
  <c r="CA50" i="18"/>
  <c r="CA23" i="18"/>
  <c r="CA26" i="18"/>
  <c r="CA18" i="18"/>
  <c r="CA32" i="18"/>
  <c r="CB48" i="18" l="1"/>
  <c r="CB25" i="18"/>
  <c r="CB23" i="18"/>
  <c r="CB15" i="18"/>
  <c r="CB22" i="18"/>
  <c r="CB12" i="18"/>
  <c r="CB45" i="18"/>
  <c r="CB13" i="18"/>
  <c r="CB49" i="18"/>
  <c r="CB17" i="18"/>
  <c r="CB26" i="18"/>
  <c r="CB44" i="18"/>
  <c r="CC7" i="18"/>
  <c r="CB34" i="18"/>
  <c r="CB41" i="18"/>
  <c r="CB42" i="18"/>
  <c r="CB47" i="18"/>
  <c r="CB11" i="18"/>
  <c r="CB33" i="18"/>
  <c r="CB43" i="18"/>
  <c r="CB46" i="18"/>
  <c r="CB50" i="18"/>
  <c r="CB19" i="18"/>
  <c r="CB39" i="18"/>
  <c r="CB38" i="18"/>
  <c r="CB35" i="18"/>
  <c r="CB36" i="18"/>
  <c r="CB29" i="18"/>
  <c r="CB31" i="18"/>
  <c r="CB28" i="18"/>
  <c r="CB9" i="18"/>
  <c r="CB20" i="18"/>
  <c r="CB27" i="18"/>
  <c r="CB24" i="18"/>
  <c r="CB32" i="18"/>
  <c r="CB14" i="18"/>
  <c r="CB40" i="18"/>
  <c r="CB16" i="18"/>
  <c r="CB21" i="18"/>
  <c r="CB30" i="18"/>
  <c r="CB37" i="18"/>
  <c r="CB18" i="18"/>
  <c r="CC33" i="18" l="1"/>
  <c r="CC49" i="18"/>
  <c r="CC9" i="18"/>
  <c r="CC30" i="18"/>
  <c r="CC41" i="18"/>
  <c r="CC47" i="18"/>
  <c r="CC31" i="18"/>
  <c r="CC18" i="18"/>
  <c r="CC12" i="18"/>
  <c r="CC26" i="18"/>
  <c r="CC13" i="18"/>
  <c r="CC19" i="18"/>
  <c r="CC46" i="18"/>
  <c r="CD7" i="18"/>
  <c r="CC25" i="18"/>
  <c r="CC50" i="18"/>
  <c r="CC22" i="18"/>
  <c r="CC36" i="18"/>
  <c r="CC34" i="18"/>
  <c r="CC27" i="18"/>
  <c r="CC44" i="18"/>
  <c r="CC11" i="18"/>
  <c r="CC43" i="18"/>
  <c r="CC21" i="18"/>
  <c r="CC37" i="18"/>
  <c r="CC48" i="18"/>
  <c r="CC32" i="18"/>
  <c r="CC28" i="18"/>
  <c r="CC24" i="18"/>
  <c r="CC23" i="18"/>
  <c r="CC17" i="18"/>
  <c r="CC35" i="18"/>
  <c r="CC14" i="18"/>
  <c r="CC20" i="18"/>
  <c r="CC29" i="18"/>
  <c r="CC42" i="18"/>
  <c r="CC16" i="18"/>
  <c r="CC39" i="18"/>
  <c r="CC15" i="18"/>
  <c r="CC40" i="18"/>
  <c r="CC45" i="18"/>
  <c r="CC38" i="18"/>
  <c r="CD30" i="18" l="1"/>
  <c r="CD37" i="18"/>
  <c r="CD47" i="18"/>
  <c r="CD18" i="18"/>
  <c r="CD29" i="18"/>
  <c r="CD44" i="18"/>
  <c r="CD39" i="18"/>
  <c r="CD36" i="18"/>
  <c r="CD49" i="18"/>
  <c r="CD9" i="18"/>
  <c r="CD27" i="18"/>
  <c r="CD25" i="18"/>
  <c r="CD35" i="18"/>
  <c r="CD21" i="18"/>
  <c r="CD19" i="18"/>
  <c r="CD26" i="18"/>
  <c r="CD15" i="18"/>
  <c r="CD48" i="18"/>
  <c r="CD12" i="18"/>
  <c r="CD17" i="18"/>
  <c r="CD42" i="18"/>
  <c r="CD16" i="18"/>
  <c r="CD24" i="18"/>
  <c r="CD13" i="18"/>
  <c r="CD11" i="18"/>
  <c r="CD50" i="18"/>
  <c r="CD40" i="18"/>
  <c r="CD20" i="18"/>
  <c r="CD46" i="18"/>
  <c r="CD43" i="18"/>
  <c r="CD14" i="18"/>
  <c r="CD23" i="18"/>
  <c r="CD31" i="18"/>
  <c r="CD38" i="18"/>
  <c r="CD41" i="18"/>
  <c r="CD22" i="18"/>
  <c r="CD45" i="18"/>
  <c r="CD28" i="18"/>
  <c r="CD32" i="18"/>
  <c r="CD33" i="18"/>
  <c r="CD34" i="18"/>
  <c r="CE7" i="18"/>
  <c r="CE17" i="18" l="1"/>
  <c r="CE50" i="18"/>
  <c r="CE27" i="18"/>
  <c r="CF7" i="18"/>
  <c r="CE16" i="18"/>
  <c r="CE24" i="18"/>
  <c r="CE34" i="18"/>
  <c r="CE32" i="18"/>
  <c r="CE9" i="18"/>
  <c r="CE37" i="18"/>
  <c r="CE38" i="18"/>
  <c r="CE25" i="18"/>
  <c r="CE45" i="18"/>
  <c r="CE31" i="18"/>
  <c r="CE30" i="18"/>
  <c r="CE11" i="18"/>
  <c r="CE29" i="18"/>
  <c r="CE39" i="18"/>
  <c r="CE28" i="18"/>
  <c r="CE35" i="18"/>
  <c r="CE42" i="18"/>
  <c r="CE44" i="18"/>
  <c r="CE36" i="18"/>
  <c r="CE18" i="18"/>
  <c r="CE46" i="18"/>
  <c r="CE21" i="18"/>
  <c r="CE14" i="18"/>
  <c r="CE12" i="18"/>
  <c r="CE40" i="18"/>
  <c r="CE13" i="18"/>
  <c r="CE48" i="18"/>
  <c r="CE43" i="18"/>
  <c r="CE22" i="18"/>
  <c r="CE26" i="18"/>
  <c r="CE47" i="18"/>
  <c r="CE33" i="18"/>
  <c r="CE23" i="18"/>
  <c r="CE41" i="18"/>
  <c r="CE49" i="18"/>
  <c r="CE19" i="18"/>
  <c r="CE20" i="18"/>
  <c r="CE15" i="18"/>
  <c r="CF43" i="18" l="1"/>
  <c r="CF20" i="18"/>
  <c r="CF18" i="18"/>
  <c r="CF37" i="18"/>
  <c r="CF32" i="18"/>
  <c r="CF23" i="18"/>
  <c r="CF31" i="18"/>
  <c r="CF30" i="18"/>
  <c r="CF9" i="18"/>
  <c r="CF48" i="18"/>
  <c r="CF46" i="18"/>
  <c r="CF45" i="18"/>
  <c r="CF40" i="18"/>
  <c r="CF33" i="18"/>
  <c r="CF26" i="18"/>
  <c r="CF47" i="18"/>
  <c r="CF17" i="18"/>
  <c r="CF38" i="18"/>
  <c r="CF35" i="18"/>
  <c r="CF15" i="18"/>
  <c r="CF50" i="18"/>
  <c r="CF41" i="18"/>
  <c r="CF21" i="18"/>
  <c r="CF34" i="18"/>
  <c r="CF36" i="18"/>
  <c r="CF12" i="18"/>
  <c r="CF28" i="18"/>
  <c r="CF16" i="18"/>
  <c r="CF22" i="18"/>
  <c r="CF14" i="18"/>
  <c r="CF13" i="18"/>
  <c r="CF24" i="18"/>
  <c r="CF49" i="18"/>
  <c r="CF39" i="18"/>
  <c r="CF19" i="18"/>
  <c r="CF42" i="18"/>
  <c r="CF27" i="18"/>
  <c r="CF25" i="18"/>
  <c r="CF29" i="18"/>
  <c r="CF11" i="18"/>
  <c r="CG7" i="18"/>
  <c r="CF44" i="18"/>
  <c r="CG31" i="18" l="1"/>
  <c r="CG50" i="18"/>
  <c r="CG18" i="18"/>
  <c r="CG22" i="18"/>
  <c r="CG12" i="18"/>
  <c r="CG16" i="18"/>
  <c r="CG13" i="18"/>
  <c r="CG17" i="18"/>
  <c r="CG28" i="18"/>
  <c r="CG42" i="18"/>
  <c r="CG26" i="18"/>
  <c r="CG36" i="18"/>
  <c r="CG30" i="18"/>
  <c r="CG11" i="18"/>
  <c r="CG21" i="18"/>
  <c r="CG47" i="18"/>
  <c r="CG29" i="18"/>
  <c r="CG25" i="18"/>
  <c r="CG41" i="18"/>
  <c r="CG15" i="18"/>
  <c r="CG19" i="18"/>
  <c r="CG48" i="18"/>
  <c r="CG49" i="18"/>
  <c r="CG35" i="18"/>
  <c r="CG43" i="18"/>
  <c r="CG38" i="18"/>
  <c r="CG20" i="18"/>
  <c r="CG45" i="18"/>
  <c r="CG23" i="18"/>
  <c r="CH7" i="18"/>
  <c r="CG46" i="18"/>
  <c r="CG32" i="18"/>
  <c r="CG39" i="18"/>
  <c r="CG9" i="18"/>
  <c r="CG40" i="18"/>
  <c r="CG34" i="18"/>
  <c r="CG27" i="18"/>
  <c r="CG33" i="18"/>
  <c r="CG24" i="18"/>
  <c r="CG44" i="18"/>
  <c r="CG37" i="18"/>
  <c r="CG14" i="18"/>
  <c r="CH6" i="18" l="1"/>
  <c r="CH31" i="18"/>
  <c r="CH23" i="18"/>
  <c r="CH30" i="18"/>
  <c r="CH28" i="18"/>
  <c r="CH11" i="18"/>
  <c r="CH25" i="18"/>
  <c r="CH17" i="18"/>
  <c r="CH18" i="18"/>
  <c r="CH33" i="18"/>
  <c r="CH50" i="18"/>
  <c r="CH41" i="18"/>
  <c r="CH45" i="18"/>
  <c r="CI7" i="18"/>
  <c r="CH19" i="18"/>
  <c r="CH16" i="18"/>
  <c r="CH9" i="18"/>
  <c r="CH48" i="18"/>
  <c r="CH40" i="18"/>
  <c r="CH39" i="18"/>
  <c r="CH32" i="18"/>
  <c r="CH24" i="18"/>
  <c r="CH46" i="18"/>
  <c r="CH44" i="18"/>
  <c r="CH42" i="18"/>
  <c r="CH26" i="18"/>
  <c r="CH34" i="18"/>
  <c r="CH38" i="18"/>
  <c r="CH22" i="18"/>
  <c r="CH20" i="18"/>
  <c r="CH29" i="18"/>
  <c r="CH47" i="18"/>
  <c r="CH12" i="18"/>
  <c r="CH36" i="18"/>
  <c r="CH35" i="18"/>
  <c r="CH27" i="18"/>
  <c r="CH15" i="18"/>
  <c r="CH49" i="18"/>
  <c r="CH13" i="18"/>
  <c r="CH43" i="18"/>
  <c r="CH14" i="18"/>
  <c r="CH37" i="18"/>
  <c r="CH21" i="18"/>
  <c r="CI12" i="18" l="1"/>
  <c r="CI28" i="18"/>
  <c r="CI46" i="18"/>
  <c r="CI14" i="18"/>
  <c r="CI21" i="18"/>
  <c r="CI34" i="18"/>
  <c r="CI29" i="18"/>
  <c r="CI16" i="18"/>
  <c r="CI11" i="18"/>
  <c r="CI25" i="18"/>
  <c r="CI42" i="18"/>
  <c r="CI50" i="18"/>
  <c r="CI15" i="18"/>
  <c r="CI37" i="18"/>
  <c r="CI18" i="18"/>
  <c r="CI30" i="18"/>
  <c r="CI48" i="18"/>
  <c r="CI39" i="18"/>
  <c r="CI36" i="18"/>
  <c r="CI32" i="18"/>
  <c r="CI49" i="18"/>
  <c r="CI45" i="18"/>
  <c r="CI40" i="18"/>
  <c r="CJ7" i="18"/>
  <c r="CI27" i="18"/>
  <c r="CI41" i="18"/>
  <c r="CI9" i="18"/>
  <c r="CI24" i="18"/>
  <c r="CI26" i="18"/>
  <c r="CI43" i="18"/>
  <c r="CI35" i="18"/>
  <c r="CI17" i="18"/>
  <c r="CI33" i="18"/>
  <c r="CI31" i="18"/>
  <c r="CI47" i="18"/>
  <c r="CI22" i="18"/>
  <c r="CI20" i="18"/>
  <c r="CI23" i="18"/>
  <c r="CI13" i="18"/>
  <c r="CI44" i="18"/>
  <c r="CI38" i="18"/>
  <c r="CI19" i="18"/>
  <c r="CJ41" i="18" l="1"/>
  <c r="CJ27" i="18"/>
  <c r="CJ25" i="18"/>
  <c r="CJ29" i="18"/>
  <c r="CJ46" i="18"/>
  <c r="CJ44" i="18"/>
  <c r="CJ18" i="18"/>
  <c r="CJ38" i="18"/>
  <c r="CJ15" i="18"/>
  <c r="CJ33" i="18"/>
  <c r="CJ19" i="18"/>
  <c r="CJ28" i="18"/>
  <c r="CJ31" i="18"/>
  <c r="CJ26" i="18"/>
  <c r="CJ40" i="18"/>
  <c r="CJ24" i="18"/>
  <c r="CJ35" i="18"/>
  <c r="CJ43" i="18"/>
  <c r="CJ34" i="18"/>
  <c r="CJ23" i="18"/>
  <c r="CJ17" i="18"/>
  <c r="CJ42" i="18"/>
  <c r="CJ36" i="18"/>
  <c r="CJ13" i="18"/>
  <c r="CJ32" i="18"/>
  <c r="CJ21" i="18"/>
  <c r="CJ9" i="18"/>
  <c r="CJ20" i="18"/>
  <c r="CJ37" i="18"/>
  <c r="CJ14" i="18"/>
  <c r="CJ39" i="18"/>
  <c r="CJ47" i="18"/>
  <c r="CJ12" i="18"/>
  <c r="CJ45" i="18"/>
  <c r="CJ11" i="18"/>
  <c r="CJ50" i="18"/>
  <c r="CK7" i="18"/>
  <c r="CJ16" i="18"/>
  <c r="CJ30" i="18"/>
  <c r="CJ49" i="18"/>
  <c r="CJ48" i="18"/>
  <c r="CJ22" i="18"/>
  <c r="CK35" i="18" l="1"/>
  <c r="CK49" i="18"/>
  <c r="CK42" i="18"/>
  <c r="CK36" i="18"/>
  <c r="CK32" i="18"/>
  <c r="CK48" i="18"/>
  <c r="CK18" i="18"/>
  <c r="CK29" i="18"/>
  <c r="CK40" i="18"/>
  <c r="CK30" i="18"/>
  <c r="CK27" i="18"/>
  <c r="CK17" i="18"/>
  <c r="CK31" i="18"/>
  <c r="CK47" i="18"/>
  <c r="CK11" i="18"/>
  <c r="CK45" i="18"/>
  <c r="CK16" i="18"/>
  <c r="CK22" i="18"/>
  <c r="CK39" i="18"/>
  <c r="CK37" i="18"/>
  <c r="CK12" i="18"/>
  <c r="CK38" i="18"/>
  <c r="CK9" i="18"/>
  <c r="CL7" i="18"/>
  <c r="CK26" i="18"/>
  <c r="CK43" i="18"/>
  <c r="CK50" i="18"/>
  <c r="CK19" i="18"/>
  <c r="CK44" i="18"/>
  <c r="CK34" i="18"/>
  <c r="CK46" i="18"/>
  <c r="CK23" i="18"/>
  <c r="CK24" i="18"/>
  <c r="CK15" i="18"/>
  <c r="CK28" i="18"/>
  <c r="CK25" i="18"/>
  <c r="CK20" i="18"/>
  <c r="CK21" i="18"/>
  <c r="CK14" i="18"/>
  <c r="CK33" i="18"/>
  <c r="CK41" i="18"/>
  <c r="CK13" i="18"/>
  <c r="CM7" i="18" l="1"/>
  <c r="CL50" i="18"/>
  <c r="CL14" i="18"/>
  <c r="CL30" i="18"/>
  <c r="CL43" i="18"/>
  <c r="CL49" i="18"/>
  <c r="CL16" i="18"/>
  <c r="CL35" i="18"/>
  <c r="CL9" i="18"/>
  <c r="CL39" i="18"/>
  <c r="CL15" i="18"/>
  <c r="CL20" i="18"/>
  <c r="CL47" i="18"/>
  <c r="CL11" i="18"/>
  <c r="CL18" i="18"/>
  <c r="CL36" i="18"/>
  <c r="CL34" i="18"/>
  <c r="CL45" i="18"/>
  <c r="CL32" i="18"/>
  <c r="CL37" i="18"/>
  <c r="CL22" i="18"/>
  <c r="CL21" i="18"/>
  <c r="CL19" i="18"/>
  <c r="CL44" i="18"/>
  <c r="CL29" i="18"/>
  <c r="CL46" i="18"/>
  <c r="CL41" i="18"/>
  <c r="CL48" i="18"/>
  <c r="CL24" i="18"/>
  <c r="CL42" i="18"/>
  <c r="CL25" i="18"/>
  <c r="CL28" i="18"/>
  <c r="CL38" i="18"/>
  <c r="CL40" i="18"/>
  <c r="CL13" i="18"/>
  <c r="CL12" i="18"/>
  <c r="CL27" i="18"/>
  <c r="CL23" i="18"/>
  <c r="CL33" i="18"/>
  <c r="CL17" i="18"/>
  <c r="CL26" i="18"/>
  <c r="CL31" i="18"/>
  <c r="CM22" i="18" l="1"/>
  <c r="CM41" i="18"/>
  <c r="CM49" i="18"/>
  <c r="CM29" i="18"/>
  <c r="CM15" i="18"/>
  <c r="CM23" i="18"/>
  <c r="CM32" i="18"/>
  <c r="CM19" i="18"/>
  <c r="CM28" i="18"/>
  <c r="CM47" i="18"/>
  <c r="CM37" i="18"/>
  <c r="CM11" i="18"/>
  <c r="CM40" i="18"/>
  <c r="CM20" i="18"/>
  <c r="CM14" i="18"/>
  <c r="CM48" i="18"/>
  <c r="CM27" i="18"/>
  <c r="CM44" i="18"/>
  <c r="CM30" i="18"/>
  <c r="CM16" i="18"/>
  <c r="CM18" i="18"/>
  <c r="CN7" i="18"/>
  <c r="CM36" i="18"/>
  <c r="CM50" i="18"/>
  <c r="CM17" i="18"/>
  <c r="CM33" i="18"/>
  <c r="CM39" i="18"/>
  <c r="CM12" i="18"/>
  <c r="CM21" i="18"/>
  <c r="CM31" i="18"/>
  <c r="CM13" i="18"/>
  <c r="CM45" i="18"/>
  <c r="CM25" i="18"/>
  <c r="CM42" i="18"/>
  <c r="CM24" i="18"/>
  <c r="CM46" i="18"/>
  <c r="CM38" i="18"/>
  <c r="CM26" i="18"/>
  <c r="CM35" i="18"/>
  <c r="CM34" i="18"/>
  <c r="CM9" i="18"/>
  <c r="CM43" i="18"/>
  <c r="CN33" i="18" l="1"/>
  <c r="CN35" i="18"/>
  <c r="CN11" i="18"/>
  <c r="CN25" i="18"/>
  <c r="CN41" i="18"/>
  <c r="CN20" i="18"/>
  <c r="CN13" i="18"/>
  <c r="CN38" i="18"/>
  <c r="CN17" i="18"/>
  <c r="CN45" i="18"/>
  <c r="CN42" i="18"/>
  <c r="CN16" i="18"/>
  <c r="CN48" i="18"/>
  <c r="CN12" i="18"/>
  <c r="CN29" i="18"/>
  <c r="CN32" i="18"/>
  <c r="CN14" i="18"/>
  <c r="CN18" i="18"/>
  <c r="CN34" i="18"/>
  <c r="CN47" i="18"/>
  <c r="CN43" i="18"/>
  <c r="CN15" i="18"/>
  <c r="CN36" i="18"/>
  <c r="CN27" i="18"/>
  <c r="CN9" i="18"/>
  <c r="CN23" i="18"/>
  <c r="CN31" i="18"/>
  <c r="CN37" i="18"/>
  <c r="CN30" i="18"/>
  <c r="CN19" i="18"/>
  <c r="CN49" i="18"/>
  <c r="CN39" i="18"/>
  <c r="CN50" i="18"/>
  <c r="CN21" i="18"/>
  <c r="CO7" i="18"/>
  <c r="CN40" i="18"/>
  <c r="CN28" i="18"/>
  <c r="CN26" i="18"/>
  <c r="CN44" i="18"/>
  <c r="CN22" i="18"/>
  <c r="CN24" i="18"/>
  <c r="CN46" i="18"/>
  <c r="CO6" i="18" l="1"/>
  <c r="CP7" i="18"/>
  <c r="CO40" i="18"/>
  <c r="CO19" i="18"/>
  <c r="CO9" i="18"/>
  <c r="CO46" i="18"/>
  <c r="CO34" i="18"/>
  <c r="CO24" i="18"/>
  <c r="CO32" i="18"/>
  <c r="CO50" i="18"/>
  <c r="CO17" i="18"/>
  <c r="CO31" i="18"/>
  <c r="CO48" i="18"/>
  <c r="CO27" i="18"/>
  <c r="CO22" i="18"/>
  <c r="CO42" i="18"/>
  <c r="CO33" i="18"/>
  <c r="CO45" i="18"/>
  <c r="CO18" i="18"/>
  <c r="CO38" i="18"/>
  <c r="CO47" i="18"/>
  <c r="CO16" i="18"/>
  <c r="CO28" i="18"/>
  <c r="CO35" i="18"/>
  <c r="CO41" i="18"/>
  <c r="CO36" i="18"/>
  <c r="CO25" i="18"/>
  <c r="CO11" i="18"/>
  <c r="CO23" i="18"/>
  <c r="CO37" i="18"/>
  <c r="CO43" i="18"/>
  <c r="CO20" i="18"/>
  <c r="CO39" i="18"/>
  <c r="CO15" i="18"/>
  <c r="CO21" i="18"/>
  <c r="CO49" i="18"/>
  <c r="CO29" i="18"/>
  <c r="CO14" i="18"/>
  <c r="CO12" i="18"/>
  <c r="CO44" i="18"/>
  <c r="CO26" i="18"/>
  <c r="CO13" i="18"/>
  <c r="CO30" i="18"/>
  <c r="CP24" i="18" l="1"/>
  <c r="CP40" i="18"/>
  <c r="CP42" i="18"/>
  <c r="CP21" i="18"/>
  <c r="CP50" i="18"/>
  <c r="CP9" i="18"/>
  <c r="CP36" i="18"/>
  <c r="CP48" i="18"/>
  <c r="CP35" i="18"/>
  <c r="CP11" i="18"/>
  <c r="CP46" i="18"/>
  <c r="CP25" i="18"/>
  <c r="CP28" i="18"/>
  <c r="CP12" i="18"/>
  <c r="CP33" i="18"/>
  <c r="CP18" i="18"/>
  <c r="CP27" i="18"/>
  <c r="CP31" i="18"/>
  <c r="CP43" i="18"/>
  <c r="CP15" i="18"/>
  <c r="CP23" i="18"/>
  <c r="CP37" i="18"/>
  <c r="CP22" i="18"/>
  <c r="CP13" i="18"/>
  <c r="CP29" i="18"/>
  <c r="CP32" i="18"/>
  <c r="CP19" i="18"/>
  <c r="CP44" i="18"/>
  <c r="CP20" i="18"/>
  <c r="CP45" i="18"/>
  <c r="CP16" i="18"/>
  <c r="CP34" i="18"/>
  <c r="CP38" i="18"/>
  <c r="CQ7" i="18"/>
  <c r="CP41" i="18"/>
  <c r="CP14" i="18"/>
  <c r="CP39" i="18"/>
  <c r="CP26" i="18"/>
  <c r="CP17" i="18"/>
  <c r="CP49" i="18"/>
  <c r="CP30" i="18"/>
  <c r="CP47" i="18"/>
  <c r="CQ15" i="18" l="1"/>
  <c r="CQ17" i="18"/>
  <c r="CQ29" i="18"/>
  <c r="CQ22" i="18"/>
  <c r="CQ40" i="18"/>
  <c r="CQ24" i="18"/>
  <c r="CQ19" i="18"/>
  <c r="CQ46" i="18"/>
  <c r="CQ39" i="18"/>
  <c r="CR7" i="18"/>
  <c r="CQ27" i="18"/>
  <c r="CQ35" i="18"/>
  <c r="CQ30" i="18"/>
  <c r="CQ23" i="18"/>
  <c r="CQ32" i="18"/>
  <c r="CQ31" i="18"/>
  <c r="CQ48" i="18"/>
  <c r="CQ18" i="18"/>
  <c r="CQ33" i="18"/>
  <c r="CQ16" i="18"/>
  <c r="CQ41" i="18"/>
  <c r="CQ34" i="18"/>
  <c r="CQ42" i="18"/>
  <c r="CQ21" i="18"/>
  <c r="CQ25" i="18"/>
  <c r="CQ14" i="18"/>
  <c r="CQ50" i="18"/>
  <c r="CQ9" i="18"/>
  <c r="CQ37" i="18"/>
  <c r="CQ43" i="18"/>
  <c r="CQ36" i="18"/>
  <c r="CQ11" i="18"/>
  <c r="CQ44" i="18"/>
  <c r="CQ26" i="18"/>
  <c r="CQ38" i="18"/>
  <c r="CQ20" i="18"/>
  <c r="CQ45" i="18"/>
  <c r="CQ47" i="18"/>
  <c r="CQ13" i="18"/>
  <c r="CQ28" i="18"/>
  <c r="CQ12" i="18"/>
  <c r="CQ49" i="18"/>
  <c r="CR37" i="18" l="1"/>
  <c r="CR39" i="18"/>
  <c r="CR20" i="18"/>
  <c r="CR19" i="18"/>
  <c r="CR14" i="18"/>
  <c r="CR35" i="18"/>
  <c r="CS7" i="18"/>
  <c r="CR9" i="18"/>
  <c r="CR29" i="18"/>
  <c r="CR21" i="18"/>
  <c r="CR27" i="18"/>
  <c r="CR24" i="18"/>
  <c r="CR32" i="18"/>
  <c r="CR45" i="18"/>
  <c r="CR28" i="18"/>
  <c r="CR50" i="18"/>
  <c r="CR12" i="18"/>
  <c r="CR47" i="18"/>
  <c r="CR16" i="18"/>
  <c r="CR17" i="18"/>
  <c r="CR23" i="18"/>
  <c r="CR43" i="18"/>
  <c r="CR40" i="18"/>
  <c r="CR15" i="18"/>
  <c r="CR34" i="18"/>
  <c r="CR42" i="18"/>
  <c r="CR38" i="18"/>
  <c r="CR48" i="18"/>
  <c r="CR44" i="18"/>
  <c r="CR49" i="18"/>
  <c r="CR11" i="18"/>
  <c r="CR36" i="18"/>
  <c r="CR41" i="18"/>
  <c r="CR30" i="18"/>
  <c r="CR26" i="18"/>
  <c r="CR46" i="18"/>
  <c r="CR18" i="18"/>
  <c r="CR31" i="18"/>
  <c r="CR33" i="18"/>
  <c r="CR13" i="18"/>
  <c r="CR22" i="18"/>
  <c r="CR25" i="18"/>
  <c r="CS25" i="18" l="1"/>
  <c r="CS36" i="18"/>
  <c r="CS29" i="18"/>
  <c r="CS49" i="18"/>
  <c r="CS35" i="18"/>
  <c r="CS14" i="18"/>
  <c r="CS39" i="18"/>
  <c r="CS21" i="18"/>
  <c r="CS22" i="18"/>
  <c r="CS9" i="18"/>
  <c r="CS37" i="18"/>
  <c r="CS11" i="18"/>
  <c r="CS17" i="18"/>
  <c r="CS43" i="18"/>
  <c r="CS33" i="18"/>
  <c r="CS19" i="18"/>
  <c r="CS44" i="18"/>
  <c r="CT7" i="18"/>
  <c r="CS40" i="18"/>
  <c r="CS12" i="18"/>
  <c r="CS45" i="18"/>
  <c r="CS13" i="18"/>
  <c r="CS27" i="18"/>
  <c r="CS16" i="18"/>
  <c r="CS50" i="18"/>
  <c r="CS32" i="18"/>
  <c r="CS47" i="18"/>
  <c r="CS31" i="18"/>
  <c r="CS15" i="18"/>
  <c r="CS30" i="18"/>
  <c r="CS42" i="18"/>
  <c r="CS23" i="18"/>
  <c r="CS28" i="18"/>
  <c r="CS41" i="18"/>
  <c r="CS24" i="18"/>
  <c r="CS34" i="18"/>
  <c r="CS48" i="18"/>
  <c r="CS26" i="18"/>
  <c r="CS18" i="18"/>
  <c r="CS46" i="18"/>
  <c r="CS38" i="18"/>
  <c r="CS20" i="18"/>
  <c r="CT36" i="18" l="1"/>
  <c r="CT34" i="18"/>
  <c r="CT47" i="18"/>
  <c r="CT11" i="18"/>
  <c r="CT41" i="18"/>
  <c r="CT17" i="18"/>
  <c r="CU7" i="18"/>
  <c r="CT20" i="18"/>
  <c r="CT23" i="18"/>
  <c r="CT33" i="18"/>
  <c r="CT26" i="18"/>
  <c r="CT32" i="18"/>
  <c r="CT22" i="18"/>
  <c r="CT38" i="18"/>
  <c r="CT27" i="18"/>
  <c r="CT50" i="18"/>
  <c r="CT31" i="18"/>
  <c r="CT28" i="18"/>
  <c r="CT16" i="18"/>
  <c r="CT40" i="18"/>
  <c r="CT18" i="18"/>
  <c r="CT42" i="18"/>
  <c r="CT13" i="18"/>
  <c r="CT35" i="18"/>
  <c r="CT21" i="18"/>
  <c r="CT46" i="18"/>
  <c r="CT9" i="18"/>
  <c r="CT14" i="18"/>
  <c r="CT15" i="18"/>
  <c r="CT19" i="18"/>
  <c r="CT45" i="18"/>
  <c r="CT37" i="18"/>
  <c r="CT30" i="18"/>
  <c r="CT49" i="18"/>
  <c r="CT44" i="18"/>
  <c r="CT25" i="18"/>
  <c r="CT48" i="18"/>
  <c r="CT29" i="18"/>
  <c r="CT43" i="18"/>
  <c r="CT39" i="18"/>
  <c r="CT12" i="18"/>
  <c r="CT24" i="18"/>
  <c r="CU24" i="18" l="1"/>
  <c r="CU34" i="18"/>
  <c r="CU9" i="18"/>
  <c r="CU30" i="18"/>
  <c r="CU41" i="18"/>
  <c r="CU39" i="18"/>
  <c r="CU45" i="18"/>
  <c r="CU19" i="18"/>
  <c r="CU13" i="18"/>
  <c r="CU36" i="18"/>
  <c r="CU35" i="18"/>
  <c r="CU27" i="18"/>
  <c r="CU22" i="18"/>
  <c r="CU15" i="18"/>
  <c r="CU49" i="18"/>
  <c r="CU25" i="18"/>
  <c r="CU14" i="18"/>
  <c r="CU42" i="18"/>
  <c r="CU44" i="18"/>
  <c r="CU48" i="18"/>
  <c r="CU12" i="18"/>
  <c r="CU43" i="18"/>
  <c r="CU20" i="18"/>
  <c r="CU21" i="18"/>
  <c r="CU38" i="18"/>
  <c r="CU47" i="18"/>
  <c r="CU31" i="18"/>
  <c r="CU46" i="18"/>
  <c r="CU37" i="18"/>
  <c r="CU18" i="18"/>
  <c r="CU32" i="18"/>
  <c r="CU17" i="18"/>
  <c r="CU33" i="18"/>
  <c r="CU11" i="18"/>
  <c r="CV7" i="18"/>
  <c r="CU40" i="18"/>
  <c r="CU23" i="18"/>
  <c r="CU16" i="18"/>
  <c r="CU29" i="18"/>
  <c r="CU26" i="18"/>
  <c r="CU50" i="18"/>
  <c r="CU28" i="18"/>
  <c r="CV6" i="18" l="1"/>
  <c r="CV35" i="18"/>
  <c r="CV34" i="18"/>
  <c r="CV20" i="18"/>
  <c r="CV15" i="18"/>
  <c r="CV27" i="18"/>
  <c r="CV9" i="18"/>
  <c r="CV37" i="18"/>
  <c r="CV21" i="18"/>
  <c r="CV36" i="18"/>
  <c r="CV26" i="18"/>
  <c r="CV33" i="18"/>
  <c r="CW7" i="18"/>
  <c r="CV18" i="18"/>
  <c r="CV29" i="18"/>
  <c r="CV13" i="18"/>
  <c r="CV48" i="18"/>
  <c r="CV30" i="18"/>
  <c r="CV38" i="18"/>
  <c r="CV41" i="18"/>
  <c r="CV22" i="18"/>
  <c r="CV17" i="18"/>
  <c r="CV50" i="18"/>
  <c r="CV16" i="18"/>
  <c r="CV23" i="18"/>
  <c r="CV42" i="18"/>
  <c r="CV12" i="18"/>
  <c r="CV45" i="18"/>
  <c r="CV19" i="18"/>
  <c r="CV39" i="18"/>
  <c r="CV11" i="18"/>
  <c r="CV47" i="18"/>
  <c r="CV31" i="18"/>
  <c r="CV40" i="18"/>
  <c r="CV28" i="18"/>
  <c r="CV43" i="18"/>
  <c r="CV24" i="18"/>
  <c r="CV14" i="18"/>
  <c r="CV46" i="18"/>
  <c r="CV49" i="18"/>
  <c r="CV44" i="18"/>
  <c r="CV25" i="18"/>
  <c r="CV32" i="18"/>
  <c r="CW23" i="18" l="1"/>
  <c r="CW18" i="18"/>
  <c r="CW27" i="18"/>
  <c r="CW39" i="18"/>
  <c r="CW50" i="18"/>
  <c r="CW15" i="18"/>
  <c r="CW30" i="18"/>
  <c r="CW12" i="18"/>
  <c r="CW42" i="18"/>
  <c r="CW31" i="18"/>
  <c r="CW37" i="18"/>
  <c r="CW32" i="18"/>
  <c r="CW21" i="18"/>
  <c r="CW48" i="18"/>
  <c r="CW14" i="18"/>
  <c r="CW13" i="18"/>
  <c r="CW38" i="18"/>
  <c r="CW25" i="18"/>
  <c r="CW34" i="18"/>
  <c r="CW35" i="18"/>
  <c r="CW46" i="18"/>
  <c r="CW36" i="18"/>
  <c r="CW47" i="18"/>
  <c r="CW11" i="18"/>
  <c r="CW33" i="18"/>
  <c r="CW29" i="18"/>
  <c r="CW45" i="18"/>
  <c r="CW28" i="18"/>
  <c r="CW20" i="18"/>
  <c r="CW40" i="18"/>
  <c r="CW16" i="18"/>
  <c r="CW19" i="18"/>
  <c r="CW17" i="18"/>
  <c r="CW24" i="18"/>
  <c r="CW9" i="18"/>
  <c r="CW43" i="18"/>
  <c r="CW22" i="18"/>
  <c r="CW44" i="18"/>
  <c r="CW41" i="18"/>
  <c r="CX7" i="18"/>
  <c r="CW26" i="18"/>
  <c r="CW49" i="18"/>
  <c r="CX17" i="18" l="1"/>
  <c r="CX47" i="18"/>
  <c r="CX48" i="18"/>
  <c r="CX22" i="18"/>
  <c r="CX50" i="18"/>
  <c r="CX11" i="18"/>
  <c r="CX42" i="18"/>
  <c r="CX27" i="18"/>
  <c r="CX19" i="18"/>
  <c r="CX26" i="18"/>
  <c r="CX14" i="18"/>
  <c r="CX9" i="18"/>
  <c r="CX21" i="18"/>
  <c r="CX35" i="18"/>
  <c r="CX40" i="18"/>
  <c r="CX34" i="18"/>
  <c r="CX39" i="18"/>
  <c r="CX46" i="18"/>
  <c r="CX29" i="18"/>
  <c r="CX16" i="18"/>
  <c r="CX36" i="18"/>
  <c r="CX43" i="18"/>
  <c r="CX13" i="18"/>
  <c r="CX18" i="18"/>
  <c r="CX49" i="18"/>
  <c r="CX38" i="18"/>
  <c r="CX20" i="18"/>
  <c r="CX37" i="18"/>
  <c r="CX25" i="18"/>
  <c r="CX33" i="18"/>
  <c r="CX15" i="18"/>
  <c r="CX12" i="18"/>
  <c r="CX31" i="18"/>
  <c r="CX30" i="18"/>
  <c r="CX24" i="18"/>
  <c r="CY7" i="18"/>
  <c r="CX32" i="18"/>
  <c r="CX23" i="18"/>
  <c r="CX28" i="18"/>
  <c r="CX44" i="18"/>
  <c r="CX41" i="18"/>
  <c r="CX45" i="18"/>
  <c r="CY22" i="18" l="1"/>
  <c r="CY41" i="18"/>
  <c r="CY43" i="18"/>
  <c r="CY28" i="18"/>
  <c r="CY45" i="18"/>
  <c r="CY23" i="18"/>
  <c r="CY14" i="18"/>
  <c r="CY19" i="18"/>
  <c r="CY42" i="18"/>
  <c r="CY20" i="18"/>
  <c r="CY46" i="18"/>
  <c r="CY35" i="18"/>
  <c r="CY40" i="18"/>
  <c r="CY47" i="18"/>
  <c r="CY11" i="18"/>
  <c r="CY48" i="18"/>
  <c r="CY39" i="18"/>
  <c r="CY34" i="18"/>
  <c r="CY21" i="18"/>
  <c r="CY31" i="18"/>
  <c r="CY25" i="18"/>
  <c r="CY50" i="18"/>
  <c r="CY15" i="18"/>
  <c r="CY12" i="18"/>
  <c r="CY27" i="18"/>
  <c r="CY17" i="18"/>
  <c r="CY26" i="18"/>
  <c r="CY37" i="18"/>
  <c r="CY9" i="18"/>
  <c r="CY30" i="18"/>
  <c r="CY18" i="18"/>
  <c r="CY38" i="18"/>
  <c r="CZ7" i="18"/>
  <c r="CY49" i="18"/>
  <c r="CY24" i="18"/>
  <c r="CY13" i="18"/>
  <c r="CY32" i="18"/>
  <c r="CY29" i="18"/>
  <c r="CY44" i="18"/>
  <c r="CY36" i="18"/>
  <c r="CY16" i="18"/>
  <c r="CY33" i="18"/>
  <c r="CZ16" i="18" l="1"/>
  <c r="CZ25" i="18"/>
  <c r="CZ48" i="18"/>
  <c r="CZ41" i="18"/>
  <c r="CZ38" i="18"/>
  <c r="CZ26" i="18"/>
  <c r="CZ24" i="18"/>
  <c r="CZ12" i="18"/>
  <c r="CZ23" i="18"/>
  <c r="CZ17" i="18"/>
  <c r="CZ19" i="18"/>
  <c r="CZ28" i="18"/>
  <c r="CZ42" i="18"/>
  <c r="CZ13" i="18"/>
  <c r="CZ37" i="18"/>
  <c r="CZ27" i="18"/>
  <c r="CZ30" i="18"/>
  <c r="CZ9" i="18"/>
  <c r="CZ46" i="18"/>
  <c r="CZ33" i="18"/>
  <c r="CZ49" i="18"/>
  <c r="CZ18" i="18"/>
  <c r="CZ11" i="18"/>
  <c r="CZ32" i="18"/>
  <c r="DA7" i="18"/>
  <c r="CZ43" i="18"/>
  <c r="CZ14" i="18"/>
  <c r="CZ34" i="18"/>
  <c r="CZ40" i="18"/>
  <c r="CZ29" i="18"/>
  <c r="CZ44" i="18"/>
  <c r="CZ39" i="18"/>
  <c r="CZ21" i="18"/>
  <c r="CZ22" i="18"/>
  <c r="CZ47" i="18"/>
  <c r="CZ50" i="18"/>
  <c r="CZ15" i="18"/>
  <c r="CZ20" i="18"/>
  <c r="CZ31" i="18"/>
  <c r="CZ35" i="18"/>
  <c r="CZ36" i="18"/>
  <c r="CZ45" i="18"/>
  <c r="DB7" i="18" l="1"/>
  <c r="DA25" i="18"/>
  <c r="DA45" i="18"/>
  <c r="DA49" i="18"/>
  <c r="DA50" i="18"/>
  <c r="DA48" i="18"/>
  <c r="DA26" i="18"/>
  <c r="DA37" i="18"/>
  <c r="DA30" i="18"/>
  <c r="DA9" i="18"/>
  <c r="DA24" i="18"/>
  <c r="DA39" i="18"/>
  <c r="DA41" i="18"/>
  <c r="DA23" i="18"/>
  <c r="DA17" i="18"/>
  <c r="DA28" i="18"/>
  <c r="DA31" i="18"/>
  <c r="DA15" i="18"/>
  <c r="DA27" i="18"/>
  <c r="DA43" i="18"/>
  <c r="DA16" i="18"/>
  <c r="DA34" i="18"/>
  <c r="DA11" i="18"/>
  <c r="DA35" i="18"/>
  <c r="DA32" i="18"/>
  <c r="DA22" i="18"/>
  <c r="DA46" i="18"/>
  <c r="DA29" i="18"/>
  <c r="DA18" i="18"/>
  <c r="DA19" i="18"/>
  <c r="DA20" i="18"/>
  <c r="DA38" i="18"/>
  <c r="DA47" i="18"/>
  <c r="DA33" i="18"/>
  <c r="DA36" i="18"/>
  <c r="DA44" i="18"/>
  <c r="DA12" i="18"/>
  <c r="DA21" i="18"/>
  <c r="DA14" i="18"/>
  <c r="DA42" i="18"/>
  <c r="DA13" i="18"/>
  <c r="DA40" i="18"/>
  <c r="DB25" i="18" l="1"/>
  <c r="DB40" i="18"/>
  <c r="DB11" i="18"/>
  <c r="DB18" i="18"/>
  <c r="DB43" i="18"/>
  <c r="DB19" i="18"/>
  <c r="DB42" i="18"/>
  <c r="DB20" i="18"/>
  <c r="DB47" i="18"/>
  <c r="DB15" i="18"/>
  <c r="DB46" i="18"/>
  <c r="DB32" i="18"/>
  <c r="DB24" i="18"/>
  <c r="DB48" i="18"/>
  <c r="DB41" i="18"/>
  <c r="DB27" i="18"/>
  <c r="DB29" i="18"/>
  <c r="DB49" i="18"/>
  <c r="DB26" i="18"/>
  <c r="DB34" i="18"/>
  <c r="DB50" i="18"/>
  <c r="DB22" i="18"/>
  <c r="DB36" i="18"/>
  <c r="DB38" i="18"/>
  <c r="DB23" i="18"/>
  <c r="DB30" i="18"/>
  <c r="DB31" i="18"/>
  <c r="DB28" i="18"/>
  <c r="DB16" i="18"/>
  <c r="DB45" i="18"/>
  <c r="DB17" i="18"/>
  <c r="DB44" i="18"/>
  <c r="DB14" i="18"/>
  <c r="DB21" i="18"/>
  <c r="DB37" i="18"/>
  <c r="DB39" i="18"/>
  <c r="DC7" i="18"/>
  <c r="DB33" i="18"/>
  <c r="DB35" i="18"/>
  <c r="DB9" i="18"/>
  <c r="DB13" i="18"/>
  <c r="DB12" i="18"/>
  <c r="DC6" i="18" l="1"/>
  <c r="DC15" i="18"/>
  <c r="DD7" i="18"/>
  <c r="DC42" i="18"/>
  <c r="DC40" i="18"/>
  <c r="DC32" i="18"/>
  <c r="DC50" i="18"/>
  <c r="DC18" i="18"/>
  <c r="DC22" i="18"/>
  <c r="DC19" i="18"/>
  <c r="DC34" i="18"/>
  <c r="DC25" i="18"/>
  <c r="DC28" i="18"/>
  <c r="DC39" i="18"/>
  <c r="DC9" i="18"/>
  <c r="DC33" i="18"/>
  <c r="DC37" i="18"/>
  <c r="DC35" i="18"/>
  <c r="DC17" i="18"/>
  <c r="DC48" i="18"/>
  <c r="DC24" i="18"/>
  <c r="DC27" i="18"/>
  <c r="DC14" i="18"/>
  <c r="DC16" i="18"/>
  <c r="DC49" i="18"/>
  <c r="DC45" i="18"/>
  <c r="DC12" i="18"/>
  <c r="DC43" i="18"/>
  <c r="DC47" i="18"/>
  <c r="DC41" i="18"/>
  <c r="DC36" i="18"/>
  <c r="DC31" i="18"/>
  <c r="DC44" i="18"/>
  <c r="DC29" i="18"/>
  <c r="DC21" i="18"/>
  <c r="DC30" i="18"/>
  <c r="DC11" i="18"/>
  <c r="DC26" i="18"/>
  <c r="DC38" i="18"/>
  <c r="DC13" i="18"/>
  <c r="DC23" i="18"/>
  <c r="DC20" i="18"/>
  <c r="DC46" i="18"/>
  <c r="DD9" i="18" l="1"/>
  <c r="DD29" i="18"/>
  <c r="DD42" i="18"/>
  <c r="DD12" i="18"/>
  <c r="DD16" i="18"/>
  <c r="DD28" i="18"/>
  <c r="DD26" i="18"/>
  <c r="DD32" i="18"/>
  <c r="DD15" i="18"/>
  <c r="DD13" i="18"/>
  <c r="DD27" i="18"/>
  <c r="DD25" i="18"/>
  <c r="DD44" i="18"/>
  <c r="DD21" i="18"/>
  <c r="DD31" i="18"/>
  <c r="DD39" i="18"/>
  <c r="DD22" i="18"/>
  <c r="DD43" i="18"/>
  <c r="DD35" i="18"/>
  <c r="DD49" i="18"/>
  <c r="DD36" i="18"/>
  <c r="DD24" i="18"/>
  <c r="DD17" i="18"/>
  <c r="DD23" i="18"/>
  <c r="DD30" i="18"/>
  <c r="DD50" i="18"/>
  <c r="DD41" i="18"/>
  <c r="DE7" i="18"/>
  <c r="DD33" i="18"/>
  <c r="DD18" i="18"/>
  <c r="DD20" i="18"/>
  <c r="DD45" i="18"/>
  <c r="DD14" i="18"/>
  <c r="DD46" i="18"/>
  <c r="DD19" i="18"/>
  <c r="DD48" i="18"/>
  <c r="DD37" i="18"/>
  <c r="DD11" i="18"/>
  <c r="DD40" i="18"/>
  <c r="DD34" i="18"/>
  <c r="DD38" i="18"/>
  <c r="DD47" i="18"/>
  <c r="DE14" i="18" l="1"/>
  <c r="DE16" i="18"/>
  <c r="DE40" i="18"/>
  <c r="DE31" i="18"/>
  <c r="DE39" i="18"/>
  <c r="DE45" i="18"/>
  <c r="DE9" i="18"/>
  <c r="DF7" i="18"/>
  <c r="DE20" i="18"/>
  <c r="DE26" i="18"/>
  <c r="DE15" i="18"/>
  <c r="DE17" i="18"/>
  <c r="DE34" i="18"/>
  <c r="DE19" i="18"/>
  <c r="DE22" i="18"/>
  <c r="DE32" i="18"/>
  <c r="DE37" i="18"/>
  <c r="DE13" i="18"/>
  <c r="DE28" i="18"/>
  <c r="DE35" i="18"/>
  <c r="DE24" i="18"/>
  <c r="DE38" i="18"/>
  <c r="DE46" i="18"/>
  <c r="DE23" i="18"/>
  <c r="DE44" i="18"/>
  <c r="DE33" i="18"/>
  <c r="DE29" i="18"/>
  <c r="DE41" i="18"/>
  <c r="DE47" i="18"/>
  <c r="DE36" i="18"/>
  <c r="DE42" i="18"/>
  <c r="DE27" i="18"/>
  <c r="DE25" i="18"/>
  <c r="DE48" i="18"/>
  <c r="DE43" i="18"/>
  <c r="DE12" i="18"/>
  <c r="DE30" i="18"/>
  <c r="DE50" i="18"/>
  <c r="DE18" i="18"/>
  <c r="DE49" i="18"/>
  <c r="DE11" i="18"/>
  <c r="DE21" i="18"/>
  <c r="DF36" i="18" l="1"/>
  <c r="DF37" i="18"/>
  <c r="DF46" i="18"/>
  <c r="DF25" i="18"/>
  <c r="DF50" i="18"/>
  <c r="DF9" i="18"/>
  <c r="DF11" i="18"/>
  <c r="DF29" i="18"/>
  <c r="DF12" i="18"/>
  <c r="DF45" i="18"/>
  <c r="DF18" i="18"/>
  <c r="DF21" i="18"/>
  <c r="DF13" i="18"/>
  <c r="DF34" i="18"/>
  <c r="DF33" i="18"/>
  <c r="DF43" i="18"/>
  <c r="DF41" i="18"/>
  <c r="DF40" i="18"/>
  <c r="DF15" i="18"/>
  <c r="DF17" i="18"/>
  <c r="DF20" i="18"/>
  <c r="DF35" i="18"/>
  <c r="DF49" i="18"/>
  <c r="DF31" i="18"/>
  <c r="DF38" i="18"/>
  <c r="DF27" i="18"/>
  <c r="DF26" i="18"/>
  <c r="DF16" i="18"/>
  <c r="DF48" i="18"/>
  <c r="DF23" i="18"/>
  <c r="DF22" i="18"/>
  <c r="DF14" i="18"/>
  <c r="DF47" i="18"/>
  <c r="DF30" i="18"/>
  <c r="DF19" i="18"/>
  <c r="DF39" i="18"/>
  <c r="DF28" i="18"/>
  <c r="DF44" i="18"/>
  <c r="DG7" i="18"/>
  <c r="DF24" i="18"/>
  <c r="DF42" i="18"/>
  <c r="DF32" i="18"/>
  <c r="DG24" i="18" l="1"/>
  <c r="DG37" i="18"/>
  <c r="DG35" i="18"/>
  <c r="DG16" i="18"/>
  <c r="DG47" i="18"/>
  <c r="DG13" i="18"/>
  <c r="DG43" i="18"/>
  <c r="DG50" i="18"/>
  <c r="DG19" i="18"/>
  <c r="DG25" i="18"/>
  <c r="DG9" i="18"/>
  <c r="DG44" i="18"/>
  <c r="DG11" i="18"/>
  <c r="DG33" i="18"/>
  <c r="DG34" i="18"/>
  <c r="DG30" i="18"/>
  <c r="DG27" i="18"/>
  <c r="DG36" i="18"/>
  <c r="DG48" i="18"/>
  <c r="DG17" i="18"/>
  <c r="DG49" i="18"/>
  <c r="DG32" i="18"/>
  <c r="DG40" i="18"/>
  <c r="DG14" i="18"/>
  <c r="DG21" i="18"/>
  <c r="DG42" i="18"/>
  <c r="DG28" i="18"/>
  <c r="DG45" i="18"/>
  <c r="DG31" i="18"/>
  <c r="DG38" i="18"/>
  <c r="DG22" i="18"/>
  <c r="DG29" i="18"/>
  <c r="DG20" i="18"/>
  <c r="DG39" i="18"/>
  <c r="DG12" i="18"/>
  <c r="DG41" i="18"/>
  <c r="DG26" i="18"/>
  <c r="DG15" i="18"/>
  <c r="DG23" i="18"/>
  <c r="DG46" i="18"/>
  <c r="DG18" i="18"/>
  <c r="DH7" i="18"/>
  <c r="DH16" i="18" l="1"/>
  <c r="DH20" i="18"/>
  <c r="DH44" i="18"/>
  <c r="DH43" i="18"/>
  <c r="DH12" i="18"/>
  <c r="DH27" i="18"/>
  <c r="DH14" i="18"/>
  <c r="DH50" i="18"/>
  <c r="DH38" i="18"/>
  <c r="DH22" i="18"/>
  <c r="DH28" i="18"/>
  <c r="DH46" i="18"/>
  <c r="DH29" i="18"/>
  <c r="DH13" i="18"/>
  <c r="DH41" i="18"/>
  <c r="DH48" i="18"/>
  <c r="DH25" i="18"/>
  <c r="DH39" i="18"/>
  <c r="DH17" i="18"/>
  <c r="DH15" i="18"/>
  <c r="DH33" i="18"/>
  <c r="DH21" i="18"/>
  <c r="DH32" i="18"/>
  <c r="DH24" i="18"/>
  <c r="DH30" i="18"/>
  <c r="DH19" i="18"/>
  <c r="DH11" i="18"/>
  <c r="DH36" i="18"/>
  <c r="DH31" i="18"/>
  <c r="DH35" i="18"/>
  <c r="DH34" i="18"/>
  <c r="DH37" i="18"/>
  <c r="DH23" i="18"/>
  <c r="DH26" i="18"/>
  <c r="DH40" i="18"/>
  <c r="DH42" i="18"/>
  <c r="DH45" i="18"/>
  <c r="DI7" i="18"/>
  <c r="DH49" i="18"/>
  <c r="DH9" i="18"/>
  <c r="DH18" i="18"/>
  <c r="DH47" i="18"/>
  <c r="DI23" i="18" l="1"/>
  <c r="DI42" i="18"/>
  <c r="DI31" i="18"/>
  <c r="DI21" i="18"/>
  <c r="DI46" i="18"/>
  <c r="DI29" i="18"/>
  <c r="DI16" i="18"/>
  <c r="DI47" i="18"/>
  <c r="DI48" i="18"/>
  <c r="DI17" i="18"/>
  <c r="DI12" i="18"/>
  <c r="DI33" i="18"/>
  <c r="DI32" i="18"/>
  <c r="DI50" i="18"/>
  <c r="DI41" i="18"/>
  <c r="DI25" i="18"/>
  <c r="DI39" i="18"/>
  <c r="DI45" i="18"/>
  <c r="DJ7" i="18"/>
  <c r="DI20" i="18"/>
  <c r="DI34" i="18"/>
  <c r="DI37" i="18"/>
  <c r="DI36" i="18"/>
  <c r="DI13" i="18"/>
  <c r="DI15" i="18"/>
  <c r="DI14" i="18"/>
  <c r="DI44" i="18"/>
  <c r="DI35" i="18"/>
  <c r="DI28" i="18"/>
  <c r="DI18" i="18"/>
  <c r="DI27" i="18"/>
  <c r="DI43" i="18"/>
  <c r="DI30" i="18"/>
  <c r="DI11" i="18"/>
  <c r="DI49" i="18"/>
  <c r="DI9" i="18"/>
  <c r="DI24" i="18"/>
  <c r="DI19" i="18"/>
  <c r="DI22" i="18"/>
  <c r="DI38" i="18"/>
  <c r="DI26" i="18"/>
  <c r="DI40" i="18"/>
  <c r="DJ17" i="18" l="1"/>
  <c r="DJ26" i="18"/>
  <c r="DJ36" i="18"/>
  <c r="DJ44" i="18"/>
  <c r="DJ32" i="18"/>
  <c r="DJ38" i="18"/>
  <c r="DJ15" i="18"/>
  <c r="DJ39" i="18"/>
  <c r="DJ31" i="18"/>
  <c r="DJ21" i="18"/>
  <c r="DJ27" i="18"/>
  <c r="DJ46" i="18"/>
  <c r="DK7" i="18"/>
  <c r="DJ29" i="18"/>
  <c r="DJ18" i="18"/>
  <c r="DJ9" i="18"/>
  <c r="DJ48" i="18"/>
  <c r="DJ35" i="18"/>
  <c r="DJ30" i="18"/>
  <c r="DJ50" i="18"/>
  <c r="DJ34" i="18"/>
  <c r="DJ25" i="18"/>
  <c r="DJ40" i="18"/>
  <c r="DJ23" i="18"/>
  <c r="DJ20" i="18"/>
  <c r="DJ47" i="18"/>
  <c r="DJ12" i="18"/>
  <c r="DJ16" i="18"/>
  <c r="DJ13" i="18"/>
  <c r="DJ42" i="18"/>
  <c r="DJ24" i="18"/>
  <c r="DJ19" i="18"/>
  <c r="DJ41" i="18"/>
  <c r="DJ43" i="18"/>
  <c r="DJ28" i="18"/>
  <c r="DJ45" i="18"/>
  <c r="DJ14" i="18"/>
  <c r="DJ22" i="18"/>
  <c r="DJ11" i="18"/>
  <c r="DJ33" i="18"/>
  <c r="DJ37" i="18"/>
  <c r="DJ49" i="18"/>
  <c r="DK22" i="18" l="1"/>
  <c r="DK30" i="18"/>
  <c r="DK49" i="18"/>
  <c r="DK36" i="18"/>
  <c r="DK44" i="18"/>
  <c r="DK39" i="18"/>
  <c r="DK29" i="18"/>
  <c r="DK32" i="18"/>
  <c r="DK28" i="18"/>
  <c r="DK26" i="18"/>
  <c r="DK33" i="18"/>
  <c r="DK34" i="18"/>
  <c r="DK50" i="18"/>
  <c r="DK43" i="18"/>
  <c r="DK15" i="18"/>
  <c r="DK45" i="18"/>
  <c r="DK17" i="18"/>
  <c r="DK24" i="18"/>
  <c r="DK40" i="18"/>
  <c r="DK18" i="18"/>
  <c r="DK11" i="18"/>
  <c r="DK42" i="18"/>
  <c r="DK25" i="18"/>
  <c r="DK37" i="18"/>
  <c r="DK14" i="18"/>
  <c r="DK20" i="18"/>
  <c r="DK27" i="18"/>
  <c r="DK38" i="18"/>
  <c r="DK35" i="18"/>
  <c r="DK21" i="18"/>
  <c r="DL7" i="18"/>
  <c r="DK19" i="18"/>
  <c r="DK16" i="18"/>
  <c r="DK23" i="18"/>
  <c r="DK12" i="18"/>
  <c r="DK31" i="18"/>
  <c r="DK13" i="18"/>
  <c r="DK47" i="18"/>
  <c r="DK48" i="18"/>
  <c r="DK9" i="18"/>
  <c r="DK41" i="18"/>
  <c r="DK46" i="18"/>
  <c r="DL20" i="18" l="1"/>
  <c r="DL11" i="18"/>
  <c r="DL35" i="18"/>
  <c r="DL46" i="18"/>
  <c r="DL13" i="18"/>
  <c r="DL48" i="18"/>
  <c r="DL33" i="18"/>
  <c r="DL26" i="18"/>
  <c r="DL36" i="18"/>
  <c r="DL29" i="18"/>
  <c r="DL19" i="18"/>
  <c r="DL27" i="18"/>
  <c r="DL25" i="18"/>
  <c r="DL49" i="18"/>
  <c r="DL22" i="18"/>
  <c r="DL34" i="18"/>
  <c r="DL24" i="18"/>
  <c r="DL12" i="18"/>
  <c r="DL50" i="18"/>
  <c r="DL14" i="18"/>
  <c r="DL43" i="18"/>
  <c r="DL28" i="18"/>
  <c r="DL23" i="18"/>
  <c r="DL44" i="18"/>
  <c r="DL39" i="18"/>
  <c r="DL15" i="18"/>
  <c r="DL45" i="18"/>
  <c r="DL31" i="18"/>
  <c r="DL37" i="18"/>
  <c r="DL9" i="18"/>
  <c r="DL38" i="18"/>
  <c r="DL21" i="18"/>
  <c r="DL47" i="18"/>
  <c r="DL32" i="18"/>
  <c r="DL16" i="18"/>
  <c r="DL30" i="18"/>
  <c r="DL18" i="18"/>
  <c r="DL40" i="18"/>
  <c r="DL41" i="18"/>
  <c r="DM7" i="18"/>
  <c r="DL17" i="18"/>
  <c r="DL42" i="18"/>
  <c r="DM6" i="18" l="1"/>
  <c r="DN7" i="18"/>
  <c r="DM30" i="18"/>
  <c r="DM38" i="18"/>
  <c r="DM9" i="18"/>
  <c r="DM19" i="18"/>
  <c r="DM42" i="18"/>
  <c r="DM33" i="18"/>
  <c r="DM39" i="18"/>
  <c r="DM43" i="18"/>
  <c r="DM47" i="18"/>
  <c r="DM41" i="18"/>
  <c r="DM28" i="18"/>
  <c r="DM37" i="18"/>
  <c r="DM12" i="18"/>
  <c r="DM50" i="18"/>
  <c r="DM23" i="18"/>
  <c r="DM11" i="18"/>
  <c r="DM32" i="18"/>
  <c r="DM27" i="18"/>
  <c r="DM16" i="18"/>
  <c r="DM24" i="18"/>
  <c r="DM40" i="18"/>
  <c r="DM49" i="18"/>
  <c r="DM20" i="18"/>
  <c r="DM46" i="18"/>
  <c r="DM15" i="18"/>
  <c r="DM17" i="18"/>
  <c r="DM35" i="18"/>
  <c r="DM29" i="18"/>
  <c r="DM34" i="18"/>
  <c r="DM31" i="18"/>
  <c r="DM21" i="18"/>
  <c r="DM48" i="18"/>
  <c r="DM22" i="18"/>
  <c r="DM44" i="18"/>
  <c r="DM14" i="18"/>
  <c r="DM45" i="18"/>
  <c r="DM26" i="18"/>
  <c r="DM36" i="18"/>
  <c r="DM13" i="18"/>
  <c r="DM18" i="18"/>
  <c r="DM25" i="18"/>
  <c r="DN13" i="18" l="1"/>
  <c r="DN27" i="18"/>
  <c r="DN50" i="18"/>
  <c r="DN19" i="18"/>
  <c r="DN46" i="18"/>
  <c r="DN28" i="18"/>
  <c r="DN12" i="18"/>
  <c r="DN20" i="18"/>
  <c r="DN44" i="18"/>
  <c r="DN15" i="18"/>
  <c r="DN39" i="18"/>
  <c r="DN40" i="18"/>
  <c r="DN31" i="18"/>
  <c r="DN9" i="18"/>
  <c r="DN30" i="18"/>
  <c r="DN49" i="18"/>
  <c r="DN23" i="18"/>
  <c r="DN33" i="18"/>
  <c r="DN36" i="18"/>
  <c r="DN38" i="18"/>
  <c r="DN18" i="18"/>
  <c r="DN16" i="18"/>
  <c r="DN21" i="18"/>
  <c r="DN34" i="18"/>
  <c r="DN47" i="18"/>
  <c r="DN11" i="18"/>
  <c r="DN42" i="18"/>
  <c r="DN32" i="18"/>
  <c r="DN43" i="18"/>
  <c r="DN25" i="18"/>
  <c r="DN29" i="18"/>
  <c r="DN37" i="18"/>
  <c r="DN14" i="18"/>
  <c r="DN22" i="18"/>
  <c r="DN24" i="18"/>
  <c r="DN26" i="18"/>
  <c r="DN35" i="18"/>
  <c r="DO7" i="18"/>
  <c r="DN17" i="18"/>
  <c r="DN41" i="18"/>
  <c r="DN48" i="18"/>
  <c r="DN45" i="18"/>
  <c r="DO15" i="18" l="1"/>
  <c r="DO45" i="18"/>
  <c r="DO47" i="18"/>
  <c r="DO48" i="18"/>
  <c r="DO31" i="18"/>
  <c r="DO16" i="18"/>
  <c r="DO19" i="18"/>
  <c r="DO46" i="18"/>
  <c r="DO50" i="18"/>
  <c r="DO39" i="18"/>
  <c r="DO11" i="18"/>
  <c r="DO40" i="18"/>
  <c r="DO38" i="18"/>
  <c r="DO28" i="18"/>
  <c r="DO32" i="18"/>
  <c r="DO49" i="18"/>
  <c r="DO12" i="18"/>
  <c r="DO44" i="18"/>
  <c r="DO27" i="18"/>
  <c r="DO41" i="18"/>
  <c r="DO25" i="18"/>
  <c r="DO17" i="18"/>
  <c r="DO35" i="18"/>
  <c r="DO34" i="18"/>
  <c r="DO22" i="18"/>
  <c r="DO23" i="18"/>
  <c r="DO14" i="18"/>
  <c r="DO24" i="18"/>
  <c r="DO43" i="18"/>
  <c r="DP7" i="18"/>
  <c r="DO42" i="18"/>
  <c r="DO9" i="18"/>
  <c r="DO30" i="18"/>
  <c r="DO29" i="18"/>
  <c r="DO33" i="18"/>
  <c r="DO26" i="18"/>
  <c r="DO37" i="18"/>
  <c r="DO13" i="18"/>
  <c r="DO21" i="18"/>
  <c r="DO18" i="18"/>
  <c r="DO20" i="18"/>
  <c r="DO36" i="18"/>
  <c r="DP31" i="18" l="1"/>
  <c r="DP17" i="18"/>
  <c r="DP34" i="18"/>
  <c r="DP36" i="18"/>
  <c r="DP37" i="18"/>
  <c r="DP16" i="18"/>
  <c r="DP48" i="18"/>
  <c r="DP25" i="18"/>
  <c r="DP46" i="18"/>
  <c r="DP44" i="18"/>
  <c r="DP49" i="18"/>
  <c r="DP20" i="18"/>
  <c r="DP33" i="18"/>
  <c r="DP43" i="18"/>
  <c r="DP35" i="18"/>
  <c r="DP41" i="18"/>
  <c r="DP30" i="18"/>
  <c r="DP42" i="18"/>
  <c r="DP22" i="18"/>
  <c r="DP18" i="18"/>
  <c r="DP26" i="18"/>
  <c r="DP11" i="18"/>
  <c r="DP45" i="18"/>
  <c r="DP28" i="18"/>
  <c r="DP39" i="18"/>
  <c r="DQ7" i="18"/>
  <c r="DP29" i="18"/>
  <c r="DP14" i="18"/>
  <c r="DP38" i="18"/>
  <c r="DP47" i="18"/>
  <c r="DP27" i="18"/>
  <c r="DP32" i="18"/>
  <c r="DP19" i="18"/>
  <c r="DP9" i="18"/>
  <c r="DP24" i="18"/>
  <c r="DP12" i="18"/>
  <c r="DP23" i="18"/>
  <c r="DP15" i="18"/>
  <c r="DP13" i="18"/>
  <c r="DP21" i="18"/>
  <c r="DP50" i="18"/>
  <c r="DP40" i="18"/>
  <c r="DQ25" i="18" l="1"/>
  <c r="DQ9" i="18"/>
  <c r="DQ37" i="18"/>
  <c r="DQ48" i="18"/>
  <c r="DQ41" i="18"/>
  <c r="DQ14" i="18"/>
  <c r="DQ22" i="18"/>
  <c r="DQ32" i="18"/>
  <c r="DQ27" i="18"/>
  <c r="DQ38" i="18"/>
  <c r="DQ31" i="18"/>
  <c r="DQ44" i="18"/>
  <c r="DQ16" i="18"/>
  <c r="DQ49" i="18"/>
  <c r="DQ13" i="18"/>
  <c r="DQ30" i="18"/>
  <c r="DQ42" i="18"/>
  <c r="DQ26" i="18"/>
  <c r="DQ33" i="18"/>
  <c r="DQ40" i="18"/>
  <c r="DQ19" i="18"/>
  <c r="DQ50" i="18"/>
  <c r="DQ29" i="18"/>
  <c r="DQ15" i="18"/>
  <c r="DQ28" i="18"/>
  <c r="DQ46" i="18"/>
  <c r="DQ12" i="18"/>
  <c r="DQ35" i="18"/>
  <c r="DQ24" i="18"/>
  <c r="DQ21" i="18"/>
  <c r="DQ34" i="18"/>
  <c r="DQ36" i="18"/>
  <c r="DQ20" i="18"/>
  <c r="DQ45" i="18"/>
  <c r="DQ17" i="18"/>
  <c r="DR7" i="18"/>
  <c r="DQ47" i="18"/>
  <c r="DQ43" i="18"/>
  <c r="DQ11" i="18"/>
  <c r="DQ18" i="18"/>
  <c r="DQ39" i="18"/>
  <c r="DQ23" i="18"/>
  <c r="DR30" i="18" l="1"/>
  <c r="DR38" i="18"/>
  <c r="DR42" i="18"/>
  <c r="DR15" i="18"/>
  <c r="DR25" i="18"/>
  <c r="DR46" i="18"/>
  <c r="DR47" i="18"/>
  <c r="DR18" i="18"/>
  <c r="DR23" i="18"/>
  <c r="DR44" i="18"/>
  <c r="DR22" i="18"/>
  <c r="DR36" i="18"/>
  <c r="DR31" i="18"/>
  <c r="DR20" i="18"/>
  <c r="DR41" i="18"/>
  <c r="DR48" i="18"/>
  <c r="DR13" i="18"/>
  <c r="DS7" i="18"/>
  <c r="DR39" i="18"/>
  <c r="DR19" i="18"/>
  <c r="DR21" i="18"/>
  <c r="DR29" i="18"/>
  <c r="DR35" i="18"/>
  <c r="DR24" i="18"/>
  <c r="DR45" i="18"/>
  <c r="DR14" i="18"/>
  <c r="DR27" i="18"/>
  <c r="DR33" i="18"/>
  <c r="DR34" i="18"/>
  <c r="DR49" i="18"/>
  <c r="DR28" i="18"/>
  <c r="DR9" i="18"/>
  <c r="DR32" i="18"/>
  <c r="DR12" i="18"/>
  <c r="DR11" i="18"/>
  <c r="DR40" i="18"/>
  <c r="DR43" i="18"/>
  <c r="DR17" i="18"/>
  <c r="DR50" i="18"/>
  <c r="DR37" i="18"/>
  <c r="DR26" i="18"/>
  <c r="DR16" i="18"/>
  <c r="DS13" i="18" l="1"/>
  <c r="DS22" i="18"/>
  <c r="DS14" i="18"/>
  <c r="DS16" i="18"/>
  <c r="DS44" i="18"/>
  <c r="DS32" i="18"/>
  <c r="DS29" i="18"/>
  <c r="DS43" i="18"/>
  <c r="DS35" i="18"/>
  <c r="DS15" i="18"/>
  <c r="DS38" i="18"/>
  <c r="DS31" i="18"/>
  <c r="DS19" i="18"/>
  <c r="DS27" i="18"/>
  <c r="DS17" i="18"/>
  <c r="DS47" i="18"/>
  <c r="DS23" i="18"/>
  <c r="DS36" i="18"/>
  <c r="DS28" i="18"/>
  <c r="DS24" i="18"/>
  <c r="DS48" i="18"/>
  <c r="DS26" i="18"/>
  <c r="DS21" i="18"/>
  <c r="DS39" i="18"/>
  <c r="DS30" i="18"/>
  <c r="DS42" i="18"/>
  <c r="DS46" i="18"/>
  <c r="DS11" i="18"/>
  <c r="DS49" i="18"/>
  <c r="DS41" i="18"/>
  <c r="DS18" i="18"/>
  <c r="DS33" i="18"/>
  <c r="DS45" i="18"/>
  <c r="DS40" i="18"/>
  <c r="DS12" i="18"/>
  <c r="DS50" i="18"/>
  <c r="DS9" i="18"/>
  <c r="DT7" i="18"/>
  <c r="DS20" i="18"/>
  <c r="DS34" i="18"/>
  <c r="DS37" i="18"/>
  <c r="DS25" i="18"/>
  <c r="DT6" i="18" l="1"/>
  <c r="DT29" i="18"/>
  <c r="DT37" i="18"/>
  <c r="DT40" i="18"/>
  <c r="DT33" i="18"/>
  <c r="DT16" i="18"/>
  <c r="DT44" i="18"/>
  <c r="DT34" i="18"/>
  <c r="DT35" i="18"/>
  <c r="DT22" i="18"/>
  <c r="DT41" i="18"/>
  <c r="DT13" i="18"/>
  <c r="DT20" i="18"/>
  <c r="DT15" i="18"/>
  <c r="DT50" i="18"/>
  <c r="DT18" i="18"/>
  <c r="DT21" i="18"/>
  <c r="DT9" i="18"/>
  <c r="DT42" i="18"/>
  <c r="DT47" i="18"/>
  <c r="DU7" i="18"/>
  <c r="DT24" i="18"/>
  <c r="DT31" i="18"/>
  <c r="DT32" i="18"/>
  <c r="DT43" i="18"/>
  <c r="DT14" i="18"/>
  <c r="DT39" i="18"/>
  <c r="DT26" i="18"/>
  <c r="DT38" i="18"/>
  <c r="DT19" i="18"/>
  <c r="DT12" i="18"/>
  <c r="DT48" i="18"/>
  <c r="DT36" i="18"/>
  <c r="DT17" i="18"/>
  <c r="DT27" i="18"/>
  <c r="DT49" i="18"/>
  <c r="DT25" i="18"/>
  <c r="DT28" i="18"/>
  <c r="DT11" i="18"/>
  <c r="DT30" i="18"/>
  <c r="DT45" i="18"/>
  <c r="DT23" i="18"/>
  <c r="DT46" i="18"/>
  <c r="DU23" i="18" l="1"/>
  <c r="DU32" i="18"/>
  <c r="DV7" i="18"/>
  <c r="DU34" i="18"/>
  <c r="DU28" i="18"/>
  <c r="DU21" i="18"/>
  <c r="DU24" i="18"/>
  <c r="DU12" i="18"/>
  <c r="DU40" i="18"/>
  <c r="DU45" i="18"/>
  <c r="DU9" i="18"/>
  <c r="DU50" i="18"/>
  <c r="DU22" i="18"/>
  <c r="DU11" i="18"/>
  <c r="DU44" i="18"/>
  <c r="DU25" i="18"/>
  <c r="DU42" i="18"/>
  <c r="DU41" i="18"/>
  <c r="DU37" i="18"/>
  <c r="DU13" i="18"/>
  <c r="DU20" i="18"/>
  <c r="DU27" i="18"/>
  <c r="DU49" i="18"/>
  <c r="DU29" i="18"/>
  <c r="DU36" i="18"/>
  <c r="DU14" i="18"/>
  <c r="DU35" i="18"/>
  <c r="DU38" i="18"/>
  <c r="DU48" i="18"/>
  <c r="DU18" i="18"/>
  <c r="DU30" i="18"/>
  <c r="DU16" i="18"/>
  <c r="DU31" i="18"/>
  <c r="DU26" i="18"/>
  <c r="DU39" i="18"/>
  <c r="DU33" i="18"/>
  <c r="DU17" i="18"/>
  <c r="DU43" i="18"/>
  <c r="DU15" i="18"/>
  <c r="DU47" i="18"/>
  <c r="DU46" i="18"/>
  <c r="DU19" i="18"/>
  <c r="DV24" i="18" l="1"/>
  <c r="DV32" i="18"/>
  <c r="DV27" i="18"/>
  <c r="DV23" i="18"/>
  <c r="DV30" i="18"/>
  <c r="DV34" i="18"/>
  <c r="DV36" i="18"/>
  <c r="DV14" i="18"/>
  <c r="DV17" i="18"/>
  <c r="DV37" i="18"/>
  <c r="DV25" i="18"/>
  <c r="DV35" i="18"/>
  <c r="DV19" i="18"/>
  <c r="DV13" i="18"/>
  <c r="DV45" i="18"/>
  <c r="DV22" i="18"/>
  <c r="DV46" i="18"/>
  <c r="DV50" i="18"/>
  <c r="DV49" i="18"/>
  <c r="DV29" i="18"/>
  <c r="DV39" i="18"/>
  <c r="DV21" i="18"/>
  <c r="DV12" i="18"/>
  <c r="DV33" i="18"/>
  <c r="DV11" i="18"/>
  <c r="DV42" i="18"/>
  <c r="DV9" i="18"/>
  <c r="DV18" i="18"/>
  <c r="DV41" i="18"/>
  <c r="DV47" i="18"/>
  <c r="DV43" i="18"/>
  <c r="DW7" i="18"/>
  <c r="DV20" i="18"/>
  <c r="DV16" i="18"/>
  <c r="DV44" i="18"/>
  <c r="DV48" i="18"/>
  <c r="DV15" i="18"/>
  <c r="DV38" i="18"/>
  <c r="DV26" i="18"/>
  <c r="DV31" i="18"/>
  <c r="DV28" i="18"/>
  <c r="DV40" i="18"/>
  <c r="DW22" i="18" l="1"/>
  <c r="DW41" i="18"/>
  <c r="DW46" i="18"/>
  <c r="DW49" i="18"/>
  <c r="DW20" i="18"/>
  <c r="DW28" i="18"/>
  <c r="DW23" i="18"/>
  <c r="DW26" i="18"/>
  <c r="DW32" i="18"/>
  <c r="DW24" i="18"/>
  <c r="DW35" i="18"/>
  <c r="DW34" i="18"/>
  <c r="DW39" i="18"/>
  <c r="DW50" i="18"/>
  <c r="DW13" i="18"/>
  <c r="DW11" i="18"/>
  <c r="DW40" i="18"/>
  <c r="DW42" i="18"/>
  <c r="DW30" i="18"/>
  <c r="DW25" i="18"/>
  <c r="DW27" i="18"/>
  <c r="DX7" i="18"/>
  <c r="DW36" i="18"/>
  <c r="DW12" i="18"/>
  <c r="DW17" i="18"/>
  <c r="DW19" i="18"/>
  <c r="DW9" i="18"/>
  <c r="DW14" i="18"/>
  <c r="DW43" i="18"/>
  <c r="DW47" i="18"/>
  <c r="DW48" i="18"/>
  <c r="DW29" i="18"/>
  <c r="DW45" i="18"/>
  <c r="DW37" i="18"/>
  <c r="DW44" i="18"/>
  <c r="DW38" i="18"/>
  <c r="DW15" i="18"/>
  <c r="DW31" i="18"/>
  <c r="DW21" i="18"/>
  <c r="DW33" i="18"/>
  <c r="DW18" i="18"/>
  <c r="DW16" i="18"/>
  <c r="DX16" i="18" l="1"/>
  <c r="DX34" i="18"/>
  <c r="DX49" i="18"/>
  <c r="DX36" i="18"/>
  <c r="DX9" i="18"/>
  <c r="DX43" i="18"/>
  <c r="DX23" i="18"/>
  <c r="DX32" i="18"/>
  <c r="DX38" i="18"/>
  <c r="DX33" i="18"/>
  <c r="DX45" i="18"/>
  <c r="DX24" i="18"/>
  <c r="DX17" i="18"/>
  <c r="DX40" i="18"/>
  <c r="DX37" i="18"/>
  <c r="DX21" i="18"/>
  <c r="DX28" i="18"/>
  <c r="DX42" i="18"/>
  <c r="DX30" i="18"/>
  <c r="DX47" i="18"/>
  <c r="DX50" i="18"/>
  <c r="DX41" i="18"/>
  <c r="DX26" i="18"/>
  <c r="DX25" i="18"/>
  <c r="DX19" i="18"/>
  <c r="DX18" i="18"/>
  <c r="DX48" i="18"/>
  <c r="DX29" i="18"/>
  <c r="DX39" i="18"/>
  <c r="DX15" i="18"/>
  <c r="DX11" i="18"/>
  <c r="DX27" i="18"/>
  <c r="DX20" i="18"/>
  <c r="DX13" i="18"/>
  <c r="DX22" i="18"/>
  <c r="DX14" i="18"/>
  <c r="DX35" i="18"/>
  <c r="DX12" i="18"/>
  <c r="DX31" i="18"/>
  <c r="DX46" i="18"/>
  <c r="DY7" i="18"/>
  <c r="DX44" i="18"/>
  <c r="DZ7" i="18" l="1"/>
  <c r="DY46" i="18"/>
  <c r="DY37" i="18"/>
  <c r="DY34" i="18"/>
  <c r="DY41" i="18"/>
  <c r="DY25" i="18"/>
  <c r="DY38" i="18"/>
  <c r="DY26" i="18"/>
  <c r="DY49" i="18"/>
  <c r="DY21" i="18"/>
  <c r="DY11" i="18"/>
  <c r="DY9" i="18"/>
  <c r="DY29" i="18"/>
  <c r="DY42" i="18"/>
  <c r="DY44" i="18"/>
  <c r="DY12" i="18"/>
  <c r="DY23" i="18"/>
  <c r="DY50" i="18"/>
  <c r="DY33" i="18"/>
  <c r="DY35" i="18"/>
  <c r="DY17" i="18"/>
  <c r="DY31" i="18"/>
  <c r="DY47" i="18"/>
  <c r="DY27" i="18"/>
  <c r="DY22" i="18"/>
  <c r="DY16" i="18"/>
  <c r="DY28" i="18"/>
  <c r="DY36" i="18"/>
  <c r="DY14" i="18"/>
  <c r="DY24" i="18"/>
  <c r="DY45" i="18"/>
  <c r="DY48" i="18"/>
  <c r="DY39" i="18"/>
  <c r="DY19" i="18"/>
  <c r="DY18" i="18"/>
  <c r="DY32" i="18"/>
  <c r="DY20" i="18"/>
  <c r="DY15" i="18"/>
  <c r="DY43" i="18"/>
  <c r="DY30" i="18"/>
  <c r="DY13" i="18"/>
  <c r="DY40" i="18"/>
  <c r="DZ32" i="18" l="1"/>
  <c r="DZ17" i="18"/>
  <c r="DZ49" i="18"/>
  <c r="DZ12" i="18"/>
  <c r="DZ46" i="18"/>
  <c r="DZ24" i="18"/>
  <c r="DZ31" i="18"/>
  <c r="DZ25" i="18"/>
  <c r="DZ37" i="18"/>
  <c r="DZ22" i="18"/>
  <c r="DZ21" i="18"/>
  <c r="DZ9" i="18"/>
  <c r="DZ29" i="18"/>
  <c r="DZ41" i="18"/>
  <c r="DZ34" i="18"/>
  <c r="DZ11" i="18"/>
  <c r="DZ50" i="18"/>
  <c r="DZ42" i="18"/>
  <c r="DZ14" i="18"/>
  <c r="DZ39" i="18"/>
  <c r="DZ13" i="18"/>
  <c r="DZ44" i="18"/>
  <c r="DZ47" i="18"/>
  <c r="DZ20" i="18"/>
  <c r="DZ30" i="18"/>
  <c r="DZ27" i="18"/>
  <c r="DZ35" i="18"/>
  <c r="DZ23" i="18"/>
  <c r="DZ48" i="18"/>
  <c r="DZ36" i="18"/>
  <c r="DZ43" i="18"/>
  <c r="DZ15" i="18"/>
  <c r="DZ40" i="18"/>
  <c r="DZ28" i="18"/>
  <c r="DZ45" i="18"/>
  <c r="DZ26" i="18"/>
  <c r="DZ19" i="18"/>
  <c r="EA7" i="18"/>
  <c r="DZ33" i="18"/>
  <c r="DZ38" i="18"/>
  <c r="DZ16" i="18"/>
  <c r="DZ18" i="18"/>
  <c r="EA6" i="18" l="1"/>
  <c r="EA15" i="18"/>
  <c r="EA40" i="18"/>
  <c r="EB7" i="18"/>
  <c r="EA19" i="18"/>
  <c r="EA38" i="18"/>
  <c r="EA50" i="18"/>
  <c r="EA26" i="18"/>
  <c r="EA21" i="18"/>
  <c r="EA22" i="18"/>
  <c r="EA17" i="18"/>
  <c r="EA37" i="18"/>
  <c r="EA32" i="18"/>
  <c r="EA29" i="18"/>
  <c r="EA44" i="18"/>
  <c r="EA23" i="18"/>
  <c r="EA42" i="18"/>
  <c r="EA13" i="18"/>
  <c r="EA24" i="18"/>
  <c r="EA46" i="18"/>
  <c r="EA39" i="18"/>
  <c r="EA48" i="18"/>
  <c r="EA49" i="18"/>
  <c r="EA41" i="18"/>
  <c r="EA14" i="18"/>
  <c r="EA16" i="18"/>
  <c r="EA20" i="18"/>
  <c r="EA30" i="18"/>
  <c r="EA47" i="18"/>
  <c r="EA9" i="18"/>
  <c r="EA35" i="18"/>
  <c r="EA34" i="18"/>
  <c r="EA11" i="18"/>
  <c r="EA27" i="18"/>
  <c r="EA12" i="18"/>
  <c r="EA28" i="18"/>
  <c r="EA31" i="18"/>
  <c r="EA18" i="18"/>
  <c r="EA36" i="18"/>
  <c r="EA25" i="18"/>
  <c r="EA43" i="18"/>
  <c r="EA45" i="18"/>
  <c r="EA33" i="18"/>
  <c r="EB22" i="18" l="1"/>
  <c r="EB39" i="18"/>
  <c r="EB50" i="18"/>
  <c r="EB9" i="18"/>
  <c r="EB47" i="18"/>
  <c r="EB15" i="18"/>
  <c r="EB45" i="18"/>
  <c r="EB40" i="18"/>
  <c r="EB44" i="18"/>
  <c r="EB30" i="18"/>
  <c r="EB28" i="18"/>
  <c r="EB35" i="18"/>
  <c r="EB43" i="18"/>
  <c r="EB21" i="18"/>
  <c r="EB16" i="18"/>
  <c r="EB31" i="18"/>
  <c r="EB27" i="18"/>
  <c r="EB12" i="18"/>
  <c r="EB18" i="18"/>
  <c r="EB49" i="18"/>
  <c r="EB34" i="18"/>
  <c r="EB37" i="18"/>
  <c r="EB20" i="18"/>
  <c r="EB36" i="18"/>
  <c r="EB38" i="18"/>
  <c r="EB41" i="18"/>
  <c r="EB24" i="18"/>
  <c r="EB17" i="18"/>
  <c r="EB23" i="18"/>
  <c r="EC7" i="18"/>
  <c r="EB33" i="18"/>
  <c r="EB29" i="18"/>
  <c r="EB32" i="18"/>
  <c r="EB13" i="18"/>
  <c r="EB25" i="18"/>
  <c r="EB42" i="18"/>
  <c r="EB11" i="18"/>
  <c r="EB46" i="18"/>
  <c r="EB19" i="18"/>
  <c r="EB26" i="18"/>
  <c r="EB14" i="18"/>
  <c r="EB48" i="18"/>
  <c r="EC14" i="18" l="1"/>
  <c r="EC44" i="18"/>
  <c r="EC29" i="18"/>
  <c r="EC28" i="18"/>
  <c r="EC39" i="18"/>
  <c r="EC42" i="18"/>
  <c r="EC21" i="18"/>
  <c r="EC23" i="18"/>
  <c r="EC46" i="18"/>
  <c r="ED7" i="18"/>
  <c r="EC41" i="18"/>
  <c r="EC36" i="18"/>
  <c r="EC15" i="18"/>
  <c r="EC31" i="18"/>
  <c r="EC30" i="18"/>
  <c r="EC27" i="18"/>
  <c r="EC12" i="18"/>
  <c r="EC16" i="18"/>
  <c r="EC50" i="18"/>
  <c r="EC47" i="18"/>
  <c r="EC45" i="18"/>
  <c r="EC35" i="18"/>
  <c r="EC48" i="18"/>
  <c r="EC37" i="18"/>
  <c r="EC40" i="18"/>
  <c r="EC26" i="18"/>
  <c r="EC32" i="18"/>
  <c r="EC20" i="18"/>
  <c r="EC11" i="18"/>
  <c r="EC22" i="18"/>
  <c r="EC9" i="18"/>
  <c r="EC18" i="18"/>
  <c r="EC17" i="18"/>
  <c r="EC13" i="18"/>
  <c r="EC33" i="18"/>
  <c r="EC38" i="18"/>
  <c r="EC43" i="18"/>
  <c r="EC24" i="18"/>
  <c r="EC19" i="18"/>
  <c r="EC49" i="18"/>
  <c r="EC25" i="18"/>
  <c r="EC34" i="18"/>
  <c r="ED16" i="18" l="1"/>
  <c r="ED19" i="18"/>
  <c r="ED45" i="18"/>
  <c r="ED38" i="18"/>
  <c r="ED21" i="18"/>
  <c r="ED42" i="18"/>
  <c r="ED13" i="18"/>
  <c r="ED41" i="18"/>
  <c r="ED32" i="18"/>
  <c r="ED20" i="18"/>
  <c r="ED31" i="18"/>
  <c r="ED29" i="18"/>
  <c r="ED30" i="18"/>
  <c r="ED33" i="18"/>
  <c r="ED48" i="18"/>
  <c r="ED36" i="18"/>
  <c r="ED35" i="18"/>
  <c r="ED46" i="18"/>
  <c r="ED47" i="18"/>
  <c r="ED49" i="18"/>
  <c r="ED25" i="18"/>
  <c r="ED26" i="18"/>
  <c r="ED39" i="18"/>
  <c r="ED14" i="18"/>
  <c r="ED43" i="18"/>
  <c r="ED28" i="18"/>
  <c r="ED9" i="18"/>
  <c r="ED40" i="18"/>
  <c r="ED18" i="18"/>
  <c r="ED44" i="18"/>
  <c r="ED23" i="18"/>
  <c r="ED15" i="18"/>
  <c r="ED34" i="18"/>
  <c r="ED50" i="18"/>
  <c r="ED17" i="18"/>
  <c r="ED11" i="18"/>
  <c r="ED27" i="18"/>
  <c r="ED12" i="18"/>
  <c r="ED22" i="18"/>
  <c r="ED24" i="18"/>
  <c r="EE7" i="18"/>
  <c r="ED37" i="18"/>
  <c r="EE24" i="18" l="1"/>
  <c r="EE25" i="18"/>
  <c r="EE22" i="18"/>
  <c r="EE41" i="18"/>
  <c r="EE47" i="18"/>
  <c r="EE13" i="18"/>
  <c r="EE37" i="18"/>
  <c r="EE34" i="18"/>
  <c r="EE42" i="18"/>
  <c r="EE9" i="18"/>
  <c r="EE31" i="18"/>
  <c r="EE33" i="18"/>
  <c r="EE29" i="18"/>
  <c r="EE21" i="18"/>
  <c r="EE46" i="18"/>
  <c r="EE18" i="18"/>
  <c r="EE50" i="18"/>
  <c r="EE27" i="18"/>
  <c r="EE43" i="18"/>
  <c r="EE14" i="18"/>
  <c r="EE11" i="18"/>
  <c r="EE38" i="18"/>
  <c r="EE23" i="18"/>
  <c r="EE39" i="18"/>
  <c r="EF7" i="18"/>
  <c r="EE19" i="18"/>
  <c r="EE15" i="18"/>
  <c r="EE16" i="18"/>
  <c r="EE35" i="18"/>
  <c r="EE32" i="18"/>
  <c r="EE48" i="18"/>
  <c r="EE36" i="18"/>
  <c r="EE45" i="18"/>
  <c r="EE20" i="18"/>
  <c r="EE44" i="18"/>
  <c r="EE17" i="18"/>
  <c r="EE28" i="18"/>
  <c r="EE12" i="18"/>
  <c r="EE26" i="18"/>
  <c r="EE40" i="18"/>
  <c r="EE30" i="18"/>
  <c r="EE49" i="18"/>
  <c r="EF35" i="18" l="1"/>
  <c r="EF25" i="18"/>
  <c r="EF9" i="18"/>
  <c r="EF27" i="18"/>
  <c r="EF38" i="18"/>
  <c r="EF24" i="18"/>
  <c r="EF14" i="18"/>
  <c r="EF45" i="18"/>
  <c r="EF22" i="18"/>
  <c r="EF30" i="18"/>
  <c r="EF40" i="18"/>
  <c r="EF49" i="18"/>
  <c r="EF26" i="18"/>
  <c r="EF47" i="18"/>
  <c r="EF37" i="18"/>
  <c r="EF50" i="18"/>
  <c r="EF17" i="18"/>
  <c r="EF46" i="18"/>
  <c r="EF21" i="18"/>
  <c r="EF34" i="18"/>
  <c r="EG7" i="18"/>
  <c r="EF31" i="18"/>
  <c r="EF33" i="18"/>
  <c r="EF20" i="18"/>
  <c r="EF39" i="18"/>
  <c r="EF42" i="18"/>
  <c r="EF48" i="18"/>
  <c r="EF43" i="18"/>
  <c r="EF41" i="18"/>
  <c r="EF11" i="18"/>
  <c r="EF32" i="18"/>
  <c r="EF23" i="18"/>
  <c r="EF13" i="18"/>
  <c r="EF19" i="18"/>
  <c r="EF16" i="18"/>
  <c r="EF15" i="18"/>
  <c r="EF28" i="18"/>
  <c r="EF18" i="18"/>
  <c r="EF29" i="18"/>
  <c r="EF44" i="18"/>
  <c r="EF12" i="18"/>
  <c r="EF36" i="18"/>
  <c r="EG23" i="18" l="1"/>
  <c r="EG25" i="18"/>
  <c r="EG39" i="18"/>
  <c r="EG37" i="18"/>
  <c r="EG18" i="18"/>
  <c r="EG30" i="18"/>
  <c r="EG36" i="18"/>
  <c r="EG12" i="18"/>
  <c r="EG29" i="18"/>
  <c r="EG27" i="18"/>
  <c r="EG14" i="18"/>
  <c r="EG21" i="18"/>
  <c r="EG26" i="18"/>
  <c r="EG24" i="18"/>
  <c r="EG34" i="18"/>
  <c r="EG19" i="18"/>
  <c r="EG35" i="18"/>
  <c r="EG33" i="18"/>
  <c r="EG43" i="18"/>
  <c r="EG47" i="18"/>
  <c r="EG38" i="18"/>
  <c r="EG50" i="18"/>
  <c r="EG40" i="18"/>
  <c r="EG16" i="18"/>
  <c r="EG46" i="18"/>
  <c r="EG41" i="18"/>
  <c r="EG17" i="18"/>
  <c r="EG32" i="18"/>
  <c r="EG9" i="18"/>
  <c r="EH7" i="18"/>
  <c r="EG44" i="18"/>
  <c r="EG22" i="18"/>
  <c r="EG20" i="18"/>
  <c r="EG13" i="18"/>
  <c r="EG42" i="18"/>
  <c r="EG31" i="18"/>
  <c r="EG15" i="18"/>
  <c r="EG48" i="18"/>
  <c r="EG28" i="18"/>
  <c r="EG45" i="18"/>
  <c r="EG11" i="18"/>
  <c r="EG49" i="18"/>
  <c r="EH6" i="18" l="1"/>
  <c r="EH18" i="18"/>
  <c r="EH25" i="18"/>
  <c r="EH17" i="18"/>
  <c r="EH22" i="18"/>
  <c r="EH32" i="18"/>
  <c r="EH36" i="18"/>
  <c r="EH34" i="18"/>
  <c r="EH37" i="18"/>
  <c r="EH39" i="18"/>
  <c r="EH40" i="18"/>
  <c r="EI7" i="18"/>
  <c r="EH44" i="18"/>
  <c r="EH38" i="18"/>
  <c r="EH26" i="18"/>
  <c r="EH31" i="18"/>
  <c r="EH49" i="18"/>
  <c r="EH15" i="18"/>
  <c r="EH12" i="18"/>
  <c r="EH48" i="18"/>
  <c r="EH30" i="18"/>
  <c r="EH19" i="18"/>
  <c r="EH33" i="18"/>
  <c r="EH47" i="18"/>
  <c r="EH14" i="18"/>
  <c r="EH13" i="18"/>
  <c r="EH43" i="18"/>
  <c r="EH11" i="18"/>
  <c r="EH42" i="18"/>
  <c r="EH29" i="18"/>
  <c r="EH35" i="18"/>
  <c r="EH50" i="18"/>
  <c r="EH27" i="18"/>
  <c r="EH9" i="18"/>
  <c r="EH46" i="18"/>
  <c r="EH16" i="18"/>
  <c r="EH24" i="18"/>
  <c r="EH28" i="18"/>
  <c r="EH45" i="18"/>
  <c r="EH21" i="18"/>
  <c r="EH20" i="18"/>
  <c r="EH41" i="18"/>
  <c r="EH23" i="18"/>
  <c r="EI22" i="18" l="1"/>
  <c r="EI14" i="18"/>
  <c r="EI46" i="18"/>
  <c r="EI28" i="18"/>
  <c r="EI12" i="18"/>
  <c r="EI11" i="18"/>
  <c r="EI30" i="18"/>
  <c r="EI36" i="18"/>
  <c r="EI39" i="18"/>
  <c r="EI21" i="18"/>
  <c r="EI38" i="18"/>
  <c r="EI35" i="18"/>
  <c r="EI48" i="18"/>
  <c r="EI25" i="18"/>
  <c r="EI17" i="18"/>
  <c r="EI26" i="18"/>
  <c r="EI24" i="18"/>
  <c r="EI9" i="18"/>
  <c r="EI40" i="18"/>
  <c r="EI42" i="18"/>
  <c r="EI13" i="18"/>
  <c r="EI34" i="18"/>
  <c r="EI19" i="18"/>
  <c r="EI16" i="18"/>
  <c r="EI23" i="18"/>
  <c r="EI45" i="18"/>
  <c r="EI33" i="18"/>
  <c r="EI32" i="18"/>
  <c r="EI37" i="18"/>
  <c r="EI18" i="18"/>
  <c r="EI47" i="18"/>
  <c r="EI31" i="18"/>
  <c r="EJ7" i="18"/>
  <c r="EI20" i="18"/>
  <c r="EI43" i="18"/>
  <c r="EI41" i="18"/>
  <c r="EI44" i="18"/>
  <c r="EI50" i="18"/>
  <c r="EI15" i="18"/>
  <c r="EI49" i="18"/>
  <c r="EI27" i="18"/>
  <c r="EI29" i="18"/>
  <c r="EJ13" i="18" l="1"/>
  <c r="EJ32" i="18"/>
  <c r="EJ30" i="18"/>
  <c r="EJ17" i="18"/>
  <c r="EJ14" i="18"/>
  <c r="EJ47" i="18"/>
  <c r="EJ40" i="18"/>
  <c r="EJ43" i="18"/>
  <c r="EJ9" i="18"/>
  <c r="EJ46" i="18"/>
  <c r="EJ37" i="18"/>
  <c r="EJ20" i="18"/>
  <c r="EJ38" i="18"/>
  <c r="EJ33" i="18"/>
  <c r="EJ12" i="18"/>
  <c r="EJ36" i="18"/>
  <c r="EJ50" i="18"/>
  <c r="EJ23" i="18"/>
  <c r="EJ15" i="18"/>
  <c r="EJ19" i="18"/>
  <c r="EJ24" i="18"/>
  <c r="EJ28" i="18"/>
  <c r="EJ45" i="18"/>
  <c r="EJ34" i="18"/>
  <c r="EJ11" i="18"/>
  <c r="EJ25" i="18"/>
  <c r="EJ22" i="18"/>
  <c r="EJ26" i="18"/>
  <c r="EJ29" i="18"/>
  <c r="EJ27" i="18"/>
  <c r="EJ35" i="18"/>
  <c r="EJ44" i="18"/>
  <c r="EJ49" i="18"/>
  <c r="EJ18" i="18"/>
  <c r="EJ39" i="18"/>
  <c r="EJ21" i="18"/>
  <c r="EJ41" i="18"/>
  <c r="EJ42" i="18"/>
  <c r="EJ48" i="18"/>
  <c r="EJ31" i="18"/>
  <c r="EJ16" i="18"/>
</calcChain>
</file>

<file path=xl/sharedStrings.xml><?xml version="1.0" encoding="utf-8"?>
<sst xmlns="http://schemas.openxmlformats.org/spreadsheetml/2006/main" count="104" uniqueCount="51">
  <si>
    <t>プロジェクト主任</t>
  </si>
  <si>
    <t>プロジェクトの開始日:</t>
  </si>
  <si>
    <t>スクロールの増分:</t>
  </si>
  <si>
    <t>マイルストーンの説明</t>
  </si>
  <si>
    <t>さらにデータを追加するには、この行の上に新しい行を挿入します。</t>
  </si>
  <si>
    <t>カテゴリ</t>
  </si>
  <si>
    <t>マイルストーン</t>
  </si>
  <si>
    <t>低リスク</t>
  </si>
  <si>
    <t>中リスク</t>
  </si>
  <si>
    <t>高リスク</t>
  </si>
  <si>
    <t>順調</t>
  </si>
  <si>
    <t>進捗状況</t>
  </si>
  <si>
    <t>開始日</t>
  </si>
  <si>
    <t>凡例:</t>
  </si>
  <si>
    <t>日数</t>
  </si>
  <si>
    <t>割り当てなし</t>
  </si>
  <si>
    <t>個人用</t>
    <rPh sb="0" eb="2">
      <t>コジン</t>
    </rPh>
    <rPh sb="2" eb="3">
      <t>ヨウ</t>
    </rPh>
    <phoneticPr fontId="35"/>
  </si>
  <si>
    <t>Webアプリ作成プロジェクト</t>
    <rPh sb="6" eb="8">
      <t>サクセイ</t>
    </rPh>
    <phoneticPr fontId="35"/>
  </si>
  <si>
    <t>Git操作学習</t>
    <rPh sb="3" eb="5">
      <t>ソウサ</t>
    </rPh>
    <rPh sb="5" eb="7">
      <t>ガクシュウ</t>
    </rPh>
    <phoneticPr fontId="35"/>
  </si>
  <si>
    <t>完了日</t>
    <rPh sb="0" eb="2">
      <t>カンリョウ</t>
    </rPh>
    <rPh sb="2" eb="3">
      <t>ビ</t>
    </rPh>
    <phoneticPr fontId="35"/>
  </si>
  <si>
    <t>進捗管理</t>
    <rPh sb="0" eb="2">
      <t>シンチョク</t>
    </rPh>
    <rPh sb="2" eb="4">
      <t>カンリ</t>
    </rPh>
    <phoneticPr fontId="35"/>
  </si>
  <si>
    <t>成果物</t>
    <rPh sb="0" eb="2">
      <t>セイカ</t>
    </rPh>
    <rPh sb="2" eb="3">
      <t>ブツ</t>
    </rPh>
    <phoneticPr fontId="35"/>
  </si>
  <si>
    <t>Git操作学習DOM
学習用成果リポジトリ</t>
    <rPh sb="3" eb="5">
      <t>ソウサ</t>
    </rPh>
    <rPh sb="5" eb="7">
      <t>ガクシュウ</t>
    </rPh>
    <rPh sb="11" eb="13">
      <t>ガクシュウ</t>
    </rPh>
    <rPh sb="13" eb="14">
      <t>ヨウ</t>
    </rPh>
    <rPh sb="14" eb="16">
      <t>セイカ</t>
    </rPh>
    <phoneticPr fontId="35"/>
  </si>
  <si>
    <t>独習Git20章</t>
    <rPh sb="0" eb="2">
      <t>ドクシュウ</t>
    </rPh>
    <rPh sb="7" eb="8">
      <t>ショウ</t>
    </rPh>
    <phoneticPr fontId="35"/>
  </si>
  <si>
    <t>AWS操作学習</t>
    <rPh sb="3" eb="5">
      <t>ソウサ</t>
    </rPh>
    <rPh sb="5" eb="7">
      <t>ガクシュウ</t>
    </rPh>
    <phoneticPr fontId="35"/>
  </si>
  <si>
    <t>Udemy</t>
    <phoneticPr fontId="35"/>
  </si>
  <si>
    <t>AWSでWebサーバ構築
学習用成果リポジトリ</t>
    <rPh sb="10" eb="12">
      <t>コウチク</t>
    </rPh>
    <phoneticPr fontId="35"/>
  </si>
  <si>
    <t>Docker学習</t>
    <rPh sb="6" eb="8">
      <t>ガクシュウ</t>
    </rPh>
    <phoneticPr fontId="35"/>
  </si>
  <si>
    <t>AWSにWebサーバの環境構築
Go + Next.js
学習用成果リポジトリ</t>
    <phoneticPr fontId="35"/>
  </si>
  <si>
    <t>HTML/CSS/Js復習</t>
    <rPh sb="11" eb="13">
      <t>フクシュウ</t>
    </rPh>
    <phoneticPr fontId="35"/>
  </si>
  <si>
    <t>静的Webサイト3ページ</t>
    <rPh sb="0" eb="2">
      <t>セイテキ</t>
    </rPh>
    <phoneticPr fontId="35"/>
  </si>
  <si>
    <t>HTML/CSS/Js実習</t>
    <rPh sb="11" eb="13">
      <t>ジッシュウ</t>
    </rPh>
    <phoneticPr fontId="35"/>
  </si>
  <si>
    <t>実習の完了
学習用成果リポジトリ</t>
    <rPh sb="0" eb="2">
      <t>ジッシュウ</t>
    </rPh>
    <rPh sb="3" eb="5">
      <t>カンリョウ</t>
    </rPh>
    <phoneticPr fontId="35"/>
  </si>
  <si>
    <t>Js基礎学習</t>
    <rPh sb="2" eb="4">
      <t>キソ</t>
    </rPh>
    <rPh sb="4" eb="6">
      <t>ガクシュウ</t>
    </rPh>
    <phoneticPr fontId="35"/>
  </si>
  <si>
    <t>React学習</t>
    <rPh sb="5" eb="7">
      <t>ガクシュウ</t>
    </rPh>
    <phoneticPr fontId="35"/>
  </si>
  <si>
    <t>Next.js学習</t>
    <rPh sb="7" eb="9">
      <t>ガクシュウ</t>
    </rPh>
    <phoneticPr fontId="35"/>
  </si>
  <si>
    <t>Webサイト企画～設計</t>
    <rPh sb="6" eb="8">
      <t>キカク</t>
    </rPh>
    <rPh sb="9" eb="11">
      <t>セッケイ</t>
    </rPh>
    <phoneticPr fontId="35"/>
  </si>
  <si>
    <t>フロント作成</t>
    <rPh sb="4" eb="6">
      <t>サクセイ</t>
    </rPh>
    <phoneticPr fontId="35"/>
  </si>
  <si>
    <t>Go学習</t>
    <rPh sb="2" eb="4">
      <t>ガクシュウ</t>
    </rPh>
    <phoneticPr fontId="35"/>
  </si>
  <si>
    <t>バックエンド作成</t>
    <rPh sb="6" eb="8">
      <t>サクセイ</t>
    </rPh>
    <phoneticPr fontId="35"/>
  </si>
  <si>
    <t>企画書
設計書</t>
    <rPh sb="0" eb="3">
      <t>キカクショ</t>
    </rPh>
    <rPh sb="4" eb="7">
      <t>セッケイショ</t>
    </rPh>
    <phoneticPr fontId="35"/>
  </si>
  <si>
    <t>Webページ作成</t>
    <rPh sb="6" eb="8">
      <t>サクセイ</t>
    </rPh>
    <phoneticPr fontId="35"/>
  </si>
  <si>
    <t>Webサイト公開</t>
    <rPh sb="6" eb="8">
      <t>コウカイ</t>
    </rPh>
    <phoneticPr fontId="35"/>
  </si>
  <si>
    <t>（予備）</t>
    <rPh sb="1" eb="3">
      <t>ヨビ</t>
    </rPh>
    <phoneticPr fontId="35"/>
  </si>
  <si>
    <t>開始タスク</t>
    <rPh sb="0" eb="2">
      <t>カイシ</t>
    </rPh>
    <phoneticPr fontId="35"/>
  </si>
  <si>
    <t>日付</t>
    <rPh sb="0" eb="2">
      <t>ヒヅケ</t>
    </rPh>
    <phoneticPr fontId="35"/>
  </si>
  <si>
    <t>完了値</t>
    <rPh sb="0" eb="2">
      <t>カンリョウ</t>
    </rPh>
    <rPh sb="2" eb="3">
      <t>チ</t>
    </rPh>
    <phoneticPr fontId="35"/>
  </si>
  <si>
    <t>目標値(残)</t>
    <rPh sb="0" eb="3">
      <t>モクヒョウチ</t>
    </rPh>
    <rPh sb="4" eb="5">
      <t>ザン</t>
    </rPh>
    <phoneticPr fontId="35"/>
  </si>
  <si>
    <t>実績値(残)</t>
    <rPh sb="0" eb="3">
      <t>ジッセキチ</t>
    </rPh>
    <phoneticPr fontId="35"/>
  </si>
  <si>
    <t>Git操作学習</t>
    <phoneticPr fontId="35"/>
  </si>
  <si>
    <t>章</t>
    <rPh sb="0" eb="1">
      <t>ショウ</t>
    </rPh>
    <phoneticPr fontId="3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</si>
</sst>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2" formatCode="_ &quot;¥&quot;* #,##0_ ;_ &quot;¥&quot;* \-#,##0_ ;_ &quot;¥&quot;* &quot;-&quot;_ ;_ @_ "/>
    <numFmt numFmtId="44" formatCode="_ &quot;¥&quot;* #,##0.00_ ;_ &quot;¥&quot;* \-#,##0.00_ ;_ &quot;¥&quot;* &quot;-&quot;??_ ;_ @_ "/>
    <numFmt numFmtId="176" formatCode="_(* #,##0.00_);_(* \(#,##0.00\);_(* &quot;-&quot;??_);_(@_)"/>
    <numFmt numFmtId="177" formatCode="d"/>
    <numFmt numFmtId="178" formatCode="m/d;@"/>
  </numFmts>
  <fonts count="38" x14ac:knownFonts="1">
    <font>
      <sz val="11"/>
      <color theme="1"/>
      <name val="Meiryo UI"/>
      <family val="2"/>
    </font>
    <font>
      <sz val="11"/>
      <color theme="1"/>
      <name val="Meiryo UI"/>
      <family val="2"/>
    </font>
    <font>
      <sz val="11"/>
      <color theme="0"/>
      <name val="Meiryo UI"/>
      <family val="2"/>
    </font>
    <font>
      <sz val="11"/>
      <color rgb="FF9C0006"/>
      <name val="Meiryo UI"/>
      <family val="2"/>
    </font>
    <font>
      <b/>
      <sz val="11"/>
      <color rgb="FFFA7D00"/>
      <name val="Meiryo UI"/>
      <family val="2"/>
    </font>
    <font>
      <b/>
      <sz val="11"/>
      <color theme="0"/>
      <name val="Meiryo UI"/>
      <family val="2"/>
    </font>
    <font>
      <i/>
      <sz val="11"/>
      <color rgb="FF7F7F7F"/>
      <name val="Meiryo UI"/>
      <family val="2"/>
    </font>
    <font>
      <sz val="11"/>
      <color rgb="FF006100"/>
      <name val="Meiryo UI"/>
      <family val="2"/>
    </font>
    <font>
      <sz val="14"/>
      <color theme="1"/>
      <name val="Meiryo UI"/>
      <family val="2"/>
    </font>
    <font>
      <b/>
      <sz val="11"/>
      <color theme="3"/>
      <name val="Meiryo UI"/>
      <family val="2"/>
    </font>
    <font>
      <u/>
      <sz val="11"/>
      <color indexed="12"/>
      <name val="Meiryo UI"/>
      <family val="2"/>
    </font>
    <font>
      <sz val="11"/>
      <color rgb="FF3F3F76"/>
      <name val="Meiryo UI"/>
      <family val="2"/>
    </font>
    <font>
      <sz val="11"/>
      <color rgb="FFFA7D00"/>
      <name val="Meiryo UI"/>
      <family val="2"/>
    </font>
    <font>
      <sz val="11"/>
      <color rgb="FF9C5700"/>
      <name val="Meiryo UI"/>
      <family val="2"/>
    </font>
    <font>
      <b/>
      <sz val="11"/>
      <color rgb="FF3F3F3F"/>
      <name val="Meiryo UI"/>
      <family val="2"/>
    </font>
    <font>
      <b/>
      <sz val="22"/>
      <color theme="1" tint="0.34998626667073579"/>
      <name val="Meiryo UI"/>
      <family val="2"/>
    </font>
    <font>
      <b/>
      <sz val="11"/>
      <color theme="1"/>
      <name val="Meiryo UI"/>
      <family val="2"/>
    </font>
    <font>
      <sz val="11"/>
      <color rgb="FFFF0000"/>
      <name val="Meiryo UI"/>
      <family val="2"/>
    </font>
    <font>
      <b/>
      <sz val="22"/>
      <name val="Meiryo UI"/>
      <family val="2"/>
    </font>
    <font>
      <sz val="14"/>
      <name val="Meiryo UI"/>
      <family val="2"/>
    </font>
    <font>
      <sz val="10"/>
      <name val="Meiryo UI"/>
      <family val="2"/>
    </font>
    <font>
      <sz val="11"/>
      <name val="Meiryo UI"/>
      <family val="2"/>
    </font>
    <font>
      <b/>
      <sz val="20"/>
      <name val="Meiryo UI"/>
      <family val="2"/>
    </font>
    <font>
      <b/>
      <sz val="16"/>
      <name val="Meiryo UI"/>
      <family val="2"/>
    </font>
    <font>
      <b/>
      <sz val="14"/>
      <color theme="0"/>
      <name val="Meiryo UI"/>
      <family val="2"/>
    </font>
    <font>
      <b/>
      <sz val="14"/>
      <name val="Meiryo UI"/>
      <family val="2"/>
    </font>
    <font>
      <b/>
      <sz val="16"/>
      <color rgb="FF000000"/>
      <name val="Meiryo UI"/>
      <family val="2"/>
    </font>
    <font>
      <sz val="16"/>
      <color rgb="FF000000"/>
      <name val="Meiryo UI"/>
      <family val="2"/>
    </font>
    <font>
      <sz val="16"/>
      <color theme="1"/>
      <name val="Meiryo UI"/>
      <family val="2"/>
    </font>
    <font>
      <b/>
      <sz val="10"/>
      <color theme="0"/>
      <name val="Meiryo UI"/>
      <family val="2"/>
    </font>
    <font>
      <b/>
      <sz val="11"/>
      <name val="Meiryo UI"/>
      <family val="2"/>
    </font>
    <font>
      <b/>
      <sz val="11"/>
      <color theme="1" tint="0.499984740745262"/>
      <name val="Meiryo UI"/>
      <family val="2"/>
    </font>
    <font>
      <sz val="10"/>
      <color theme="1" tint="0.499984740745262"/>
      <name val="Meiryo UI"/>
      <family val="2"/>
    </font>
    <font>
      <b/>
      <sz val="26"/>
      <color theme="0"/>
      <name val="Meiryo UI"/>
      <family val="2"/>
    </font>
    <font>
      <sz val="14"/>
      <color theme="0"/>
      <name val="Meiryo UI"/>
      <family val="2"/>
    </font>
    <font>
      <sz val="6"/>
      <name val="ＭＳ Ｐゴシック"/>
      <family val="3"/>
      <charset val="128"/>
    </font>
    <font>
      <b/>
      <sz val="16"/>
      <color theme="1"/>
      <name val="Meiryo UI"/>
      <family val="3"/>
      <charset val="128"/>
    </font>
    <font>
      <sz val="11"/>
      <color rgb="FF000000"/>
      <name val="Meiryo UI"/>
      <family val="3"/>
      <charset val="128"/>
    </font>
  </fonts>
  <fills count="43">
    <fill>
      <patternFill patternType="none"/>
    </fill>
    <fill>
      <patternFill patternType="gray125"/>
    </fill>
    <fill>
      <patternFill patternType="solid">
        <fgColor theme="6"/>
      </patternFill>
    </fill>
    <fill>
      <patternFill patternType="solid">
        <fgColor theme="2" tint="-9.9978637043366805E-2"/>
        <bgColor indexed="64"/>
      </patternFill>
    </fill>
    <fill>
      <patternFill patternType="solid">
        <fgColor theme="6"/>
        <bgColor indexed="64"/>
      </patternFill>
    </fill>
    <fill>
      <patternFill patternType="solid">
        <fgColor theme="7" tint="-0.249977111117893"/>
        <bgColor indexed="64"/>
      </patternFill>
    </fill>
    <fill>
      <patternFill patternType="solid">
        <fgColor theme="9"/>
        <bgColor indexed="64"/>
      </patternFill>
    </fill>
    <fill>
      <patternFill patternType="solid">
        <fgColor theme="5"/>
        <bgColor indexed="64"/>
      </patternFill>
    </fill>
    <fill>
      <patternFill patternType="solid">
        <fgColor theme="9" tint="-0.499984740745262"/>
        <bgColor indexed="64"/>
      </patternFill>
    </fill>
    <fill>
      <patternFill patternType="solid">
        <fgColor theme="0"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bgColor indexed="64"/>
      </patternFill>
    </fill>
    <fill>
      <patternFill patternType="solid">
        <fgColor theme="9" tint="0.79998168889431442"/>
        <bgColor indexed="64"/>
      </patternFill>
    </fill>
  </fills>
  <borders count="21">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style="thin">
        <color theme="0" tint="-0.499984740745262"/>
      </top>
      <bottom/>
      <diagonal/>
    </border>
    <border>
      <left style="thin">
        <color theme="0" tint="-0.14993743705557422"/>
      </left>
      <right style="thin">
        <color theme="0" tint="-0.14993743705557422"/>
      </right>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top/>
      <bottom style="thin">
        <color theme="0" tint="-0.499984740745262"/>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50">
    <xf numFmtId="0" fontId="0" fillId="0" borderId="0"/>
    <xf numFmtId="0" fontId="10" fillId="0" borderId="0" applyNumberFormat="0" applyFill="0" applyBorder="0" applyAlignment="0" applyProtection="0">
      <alignment vertical="top"/>
      <protection locked="0"/>
    </xf>
    <xf numFmtId="9" fontId="1" fillId="0" borderId="0" applyFont="0" applyFill="0" applyBorder="0" applyProtection="0">
      <alignment horizontal="center" vertical="center"/>
    </xf>
    <xf numFmtId="0" fontId="2" fillId="0" borderId="0"/>
    <xf numFmtId="176" fontId="1" fillId="0" borderId="1" applyFont="0" applyFill="0" applyAlignment="0" applyProtection="0"/>
    <xf numFmtId="0" fontId="15" fillId="0" borderId="0" applyNumberFormat="0" applyFill="0" applyBorder="0" applyAlignment="0" applyProtection="0"/>
    <xf numFmtId="0" fontId="8" fillId="0" borderId="0" applyNumberFormat="0" applyFill="0" applyAlignment="0" applyProtection="0"/>
    <xf numFmtId="0" fontId="8" fillId="0" borderId="0" applyNumberFormat="0" applyFill="0" applyProtection="0">
      <alignment vertical="top"/>
    </xf>
    <xf numFmtId="0" fontId="1" fillId="0" borderId="0" applyNumberFormat="0" applyFill="0" applyProtection="0">
      <alignment horizontal="right" vertical="center" indent="1"/>
    </xf>
    <xf numFmtId="14" fontId="1" fillId="0" borderId="0" applyFont="0" applyFill="0" applyBorder="0">
      <alignment horizontal="center" vertical="center"/>
    </xf>
    <xf numFmtId="37" fontId="1" fillId="0" borderId="0" applyFont="0" applyFill="0" applyBorder="0" applyProtection="0">
      <alignment horizontal="center" vertical="center"/>
    </xf>
    <xf numFmtId="0" fontId="2" fillId="2" borderId="0" applyNumberFormat="0" applyBorder="0" applyAlignment="0" applyProtection="0"/>
    <xf numFmtId="44" fontId="1" fillId="0" borderId="0" applyFont="0" applyFill="0" applyBorder="0" applyAlignment="0" applyProtection="0"/>
    <xf numFmtId="42" fontId="1" fillId="0" borderId="0" applyFont="0" applyFill="0" applyBorder="0" applyAlignment="0" applyProtection="0"/>
    <xf numFmtId="0" fontId="9" fillId="0" borderId="0" applyNumberFormat="0" applyFill="0" applyBorder="0" applyAlignment="0" applyProtection="0"/>
    <xf numFmtId="0" fontId="7" fillId="10" borderId="0" applyNumberFormat="0" applyBorder="0" applyAlignment="0" applyProtection="0"/>
    <xf numFmtId="0" fontId="3" fillId="11" borderId="0" applyNumberFormat="0" applyBorder="0" applyAlignment="0" applyProtection="0"/>
    <xf numFmtId="0" fontId="13" fillId="12" borderId="0" applyNumberFormat="0" applyBorder="0" applyAlignment="0" applyProtection="0"/>
    <xf numFmtId="0" fontId="11" fillId="13" borderId="12" applyNumberFormat="0" applyAlignment="0" applyProtection="0"/>
    <xf numFmtId="0" fontId="14" fillId="14" borderId="13" applyNumberFormat="0" applyAlignment="0" applyProtection="0"/>
    <xf numFmtId="0" fontId="4" fillId="14" borderId="12" applyNumberFormat="0" applyAlignment="0" applyProtection="0"/>
    <xf numFmtId="0" fontId="12" fillId="0" borderId="14" applyNumberFormat="0" applyFill="0" applyAlignment="0" applyProtection="0"/>
    <xf numFmtId="0" fontId="5" fillId="15" borderId="15" applyNumberFormat="0" applyAlignment="0" applyProtection="0"/>
    <xf numFmtId="0" fontId="17" fillId="0" borderId="0" applyNumberFormat="0" applyFill="0" applyBorder="0" applyAlignment="0" applyProtection="0"/>
    <xf numFmtId="0" fontId="1" fillId="16" borderId="16" applyNumberFormat="0" applyFont="0" applyAlignment="0" applyProtection="0"/>
    <xf numFmtId="0" fontId="6" fillId="0" borderId="0" applyNumberFormat="0" applyFill="0" applyBorder="0" applyAlignment="0" applyProtection="0"/>
    <xf numFmtId="0" fontId="16" fillId="0" borderId="17" applyNumberFormat="0" applyFill="0" applyAlignment="0" applyProtection="0"/>
    <xf numFmtId="0" fontId="2"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cellStyleXfs>
  <cellXfs count="95">
    <xf numFmtId="0" fontId="0" fillId="0" borderId="0" xfId="0"/>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2" fillId="0" borderId="0" xfId="3"/>
    <xf numFmtId="0" fontId="2" fillId="0" borderId="0" xfId="3" applyAlignment="1">
      <alignment wrapText="1"/>
    </xf>
    <xf numFmtId="0" fontId="0" fillId="0" borderId="0" xfId="0"/>
    <xf numFmtId="0" fontId="0" fillId="0" borderId="0" xfId="0" applyFont="1" applyFill="1" applyBorder="1" applyAlignment="1">
      <alignment horizontal="center" vertical="center" wrapText="1"/>
    </xf>
    <xf numFmtId="9" fontId="0" fillId="0" borderId="0" xfId="2" applyFont="1" applyFill="1" applyBorder="1" applyAlignment="1">
      <alignment horizontal="center" vertical="center"/>
    </xf>
    <xf numFmtId="9" fontId="0" fillId="0" borderId="0" xfId="2" applyFont="1" applyFill="1" applyBorder="1">
      <alignment horizontal="center" vertical="center"/>
    </xf>
    <xf numFmtId="14" fontId="0" fillId="0" borderId="0" xfId="9" applyFont="1" applyFill="1" applyBorder="1">
      <alignment horizontal="center" vertical="center"/>
    </xf>
    <xf numFmtId="37" fontId="0" fillId="0" borderId="0" xfId="10" applyFont="1" applyFill="1" applyBorder="1">
      <alignment horizontal="center" vertical="center"/>
    </xf>
    <xf numFmtId="0" fontId="0" fillId="0" borderId="0" xfId="0" applyFont="1" applyFill="1" applyBorder="1" applyAlignment="1">
      <alignment horizontal="left" wrapText="1" indent="2"/>
    </xf>
    <xf numFmtId="0" fontId="0" fillId="0" borderId="4" xfId="0" applyFill="1" applyBorder="1" applyAlignment="1">
      <alignment horizontal="center" vertical="center"/>
    </xf>
    <xf numFmtId="0" fontId="0" fillId="0" borderId="6" xfId="0" applyBorder="1" applyAlignment="1">
      <alignment vertical="center"/>
    </xf>
    <xf numFmtId="0" fontId="0" fillId="0" borderId="0" xfId="0" applyFill="1" applyBorder="1" applyAlignment="1">
      <alignment vertical="center"/>
    </xf>
    <xf numFmtId="0" fontId="0" fillId="0" borderId="0" xfId="0" applyFill="1" applyBorder="1"/>
    <xf numFmtId="0" fontId="0" fillId="0" borderId="0" xfId="0" applyFill="1"/>
    <xf numFmtId="0" fontId="0" fillId="0" borderId="0" xfId="0" applyFill="1" applyBorder="1" applyAlignment="1">
      <alignment horizontal="center" vertical="center"/>
    </xf>
    <xf numFmtId="0" fontId="0" fillId="0" borderId="4" xfId="0" applyFont="1" applyFill="1" applyBorder="1" applyAlignment="1">
      <alignment horizontal="center" vertical="center"/>
    </xf>
    <xf numFmtId="0" fontId="18" fillId="0" borderId="0" xfId="5" applyFont="1" applyFill="1" applyBorder="1" applyAlignment="1">
      <alignment horizontal="left" vertical="center"/>
    </xf>
    <xf numFmtId="0" fontId="22" fillId="0" borderId="0" xfId="0" applyFont="1" applyFill="1" applyBorder="1" applyAlignment="1">
      <alignment horizontal="left" vertical="center"/>
    </xf>
    <xf numFmtId="0" fontId="21" fillId="0" borderId="0" xfId="0" applyFont="1" applyFill="1" applyBorder="1" applyAlignment="1">
      <alignment vertical="center"/>
    </xf>
    <xf numFmtId="0" fontId="19" fillId="0" borderId="0" xfId="0" applyFont="1" applyFill="1" applyBorder="1" applyAlignment="1">
      <alignment horizontal="center" vertical="center"/>
    </xf>
    <xf numFmtId="0" fontId="19" fillId="0" borderId="0" xfId="0" applyFont="1" applyFill="1" applyBorder="1" applyAlignment="1">
      <alignment vertical="center"/>
    </xf>
    <xf numFmtId="0" fontId="23" fillId="0" borderId="0" xfId="6" applyFont="1" applyFill="1" applyAlignment="1">
      <alignment horizontal="left" vertical="center" indent="2"/>
    </xf>
    <xf numFmtId="0" fontId="19" fillId="0" borderId="0" xfId="6" applyFont="1" applyFill="1" applyAlignment="1">
      <alignment horizontal="left" vertical="center" indent="2"/>
    </xf>
    <xf numFmtId="0" fontId="21" fillId="0" borderId="0" xfId="0" applyFont="1" applyFill="1" applyAlignment="1">
      <alignment horizontal="left" vertical="center" indent="2"/>
    </xf>
    <xf numFmtId="0" fontId="21" fillId="0" borderId="0" xfId="0" applyFont="1" applyFill="1"/>
    <xf numFmtId="0" fontId="21" fillId="0" borderId="0" xfId="0" applyFont="1" applyFill="1" applyBorder="1" applyAlignment="1">
      <alignment horizontal="center"/>
    </xf>
    <xf numFmtId="0" fontId="21" fillId="0" borderId="0" xfId="0" applyFont="1" applyFill="1" applyBorder="1" applyAlignment="1">
      <alignment horizontal="right" vertical="center"/>
    </xf>
    <xf numFmtId="0" fontId="23" fillId="0" borderId="0" xfId="0" applyFont="1" applyFill="1" applyAlignment="1">
      <alignment horizontal="left" vertical="center" indent="2"/>
    </xf>
    <xf numFmtId="0" fontId="21" fillId="0" borderId="0" xfId="0" applyFont="1" applyFill="1" applyBorder="1"/>
    <xf numFmtId="0" fontId="21" fillId="0" borderId="0" xfId="8" applyFont="1" applyFill="1" applyAlignment="1">
      <alignment horizontal="left" vertical="center" indent="2"/>
    </xf>
    <xf numFmtId="14" fontId="21" fillId="0" borderId="0" xfId="9" applyFont="1" applyFill="1" applyBorder="1" applyAlignment="1">
      <alignment horizontal="left" vertical="center"/>
    </xf>
    <xf numFmtId="14" fontId="21" fillId="0" borderId="0" xfId="9" applyFont="1" applyFill="1" applyBorder="1" applyAlignment="1">
      <alignment horizontal="left" vertical="center" indent="2"/>
    </xf>
    <xf numFmtId="0" fontId="21" fillId="0" borderId="0" xfId="0" applyFont="1" applyFill="1" applyAlignment="1">
      <alignment horizontal="center"/>
    </xf>
    <xf numFmtId="0" fontId="23" fillId="0" borderId="9" xfId="0" applyFont="1" applyBorder="1" applyAlignment="1">
      <alignment vertical="center"/>
    </xf>
    <xf numFmtId="0" fontId="26" fillId="0" borderId="9" xfId="0" applyFont="1" applyBorder="1" applyAlignment="1">
      <alignment vertical="center"/>
    </xf>
    <xf numFmtId="0" fontId="27" fillId="0" borderId="9" xfId="0" applyFont="1" applyBorder="1" applyAlignment="1">
      <alignment vertical="center"/>
    </xf>
    <xf numFmtId="0" fontId="28" fillId="0" borderId="9" xfId="0" applyFont="1" applyBorder="1"/>
    <xf numFmtId="0" fontId="21" fillId="0" borderId="0" xfId="0" applyNumberFormat="1" applyFont="1" applyFill="1" applyBorder="1" applyAlignment="1">
      <alignment horizontal="left" vertical="center"/>
    </xf>
    <xf numFmtId="0" fontId="21" fillId="0" borderId="3" xfId="0" applyFont="1" applyFill="1" applyBorder="1"/>
    <xf numFmtId="0" fontId="21" fillId="0" borderId="0" xfId="0" applyFont="1" applyFill="1" applyBorder="1" applyAlignment="1">
      <alignment horizontal="left" vertical="center" indent="2"/>
    </xf>
    <xf numFmtId="0" fontId="29" fillId="0" borderId="3" xfId="0" applyFont="1" applyFill="1" applyBorder="1" applyAlignment="1">
      <alignment horizontal="center" vertical="center" wrapText="1"/>
    </xf>
    <xf numFmtId="0" fontId="20" fillId="9" borderId="1" xfId="0" applyFont="1" applyFill="1" applyBorder="1" applyAlignment="1">
      <alignment horizontal="center" vertical="center" shrinkToFit="1"/>
    </xf>
    <xf numFmtId="0" fontId="30" fillId="0" borderId="0" xfId="0" applyFont="1" applyFill="1" applyBorder="1" applyAlignment="1">
      <alignment horizontal="left" vertical="center" wrapText="1" indent="1"/>
    </xf>
    <xf numFmtId="0" fontId="21" fillId="0" borderId="0" xfId="0" applyFont="1" applyFill="1" applyBorder="1" applyAlignment="1">
      <alignment horizontal="center" vertical="center"/>
    </xf>
    <xf numFmtId="9" fontId="30" fillId="0" borderId="0" xfId="2" applyFont="1" applyFill="1" applyBorder="1">
      <alignment horizontal="center" vertical="center"/>
    </xf>
    <xf numFmtId="14" fontId="21" fillId="0" borderId="0" xfId="9" applyFont="1" applyFill="1" applyBorder="1">
      <alignment horizontal="center" vertical="center"/>
    </xf>
    <xf numFmtId="37" fontId="21" fillId="0" borderId="0" xfId="10" applyFont="1" applyFill="1" applyBorder="1">
      <alignment horizontal="center" vertical="center"/>
    </xf>
    <xf numFmtId="0" fontId="21" fillId="0" borderId="0" xfId="0" applyNumberFormat="1" applyFont="1" applyFill="1" applyBorder="1" applyAlignment="1">
      <alignment horizontal="center" vertical="center"/>
    </xf>
    <xf numFmtId="0" fontId="21" fillId="0" borderId="0" xfId="0" applyFont="1" applyFill="1" applyBorder="1" applyAlignment="1">
      <alignment horizontal="left" vertical="center" wrapText="1" indent="2"/>
    </xf>
    <xf numFmtId="0" fontId="21" fillId="0" borderId="0" xfId="0" applyFont="1" applyFill="1" applyAlignment="1">
      <alignment horizontal="left" vertical="center" wrapText="1" indent="1"/>
    </xf>
    <xf numFmtId="0" fontId="21" fillId="0" borderId="0" xfId="0" applyFont="1" applyFill="1" applyAlignment="1">
      <alignment horizontal="center" vertical="center"/>
    </xf>
    <xf numFmtId="14" fontId="21" fillId="0" borderId="0" xfId="9" applyFont="1" applyFill="1">
      <alignment horizontal="center" vertical="center"/>
    </xf>
    <xf numFmtId="37" fontId="21" fillId="0" borderId="0" xfId="10" applyFont="1" applyFill="1">
      <alignment horizontal="center" vertical="center"/>
    </xf>
    <xf numFmtId="0" fontId="31" fillId="0" borderId="0" xfId="0" applyFont="1"/>
    <xf numFmtId="0" fontId="2" fillId="0" borderId="0" xfId="0" applyNumberFormat="1" applyFont="1" applyAlignment="1">
      <alignment horizontal="center"/>
    </xf>
    <xf numFmtId="0" fontId="32" fillId="0" borderId="0" xfId="1" applyFont="1" applyAlignment="1" applyProtection="1"/>
    <xf numFmtId="0" fontId="2" fillId="8" borderId="0" xfId="0" applyFont="1" applyFill="1"/>
    <xf numFmtId="0" fontId="5" fillId="8" borderId="0" xfId="0" applyFont="1" applyFill="1" applyBorder="1" applyAlignment="1">
      <alignment horizontal="left" vertical="center" indent="1"/>
    </xf>
    <xf numFmtId="0" fontId="5" fillId="8" borderId="0" xfId="0" applyFont="1" applyFill="1" applyBorder="1" applyAlignment="1">
      <alignment horizontal="center" vertical="center" wrapText="1"/>
    </xf>
    <xf numFmtId="177" fontId="20" fillId="9" borderId="7" xfId="0" applyNumberFormat="1" applyFont="1" applyFill="1" applyBorder="1" applyAlignment="1">
      <alignment horizontal="center" vertical="center"/>
    </xf>
    <xf numFmtId="177" fontId="20" fillId="9" borderId="5" xfId="0" applyNumberFormat="1" applyFont="1" applyFill="1" applyBorder="1" applyAlignment="1">
      <alignment horizontal="center" vertical="center"/>
    </xf>
    <xf numFmtId="177" fontId="20" fillId="9" borderId="8" xfId="0" applyNumberFormat="1" applyFont="1" applyFill="1" applyBorder="1" applyAlignment="1">
      <alignment horizontal="center" vertical="center"/>
    </xf>
    <xf numFmtId="177" fontId="20" fillId="9" borderId="2" xfId="0" applyNumberFormat="1" applyFont="1" applyFill="1" applyBorder="1" applyAlignment="1">
      <alignment horizontal="center" vertical="center"/>
    </xf>
    <xf numFmtId="177" fontId="20" fillId="9" borderId="0" xfId="0" applyNumberFormat="1" applyFont="1" applyFill="1" applyBorder="1" applyAlignment="1">
      <alignment horizontal="center" vertical="center"/>
    </xf>
    <xf numFmtId="177" fontId="20" fillId="9" borderId="10" xfId="0" applyNumberFormat="1" applyFont="1" applyFill="1" applyBorder="1" applyAlignment="1">
      <alignment horizontal="center" vertical="center"/>
    </xf>
    <xf numFmtId="177" fontId="20" fillId="9" borderId="11" xfId="0" applyNumberFormat="1" applyFont="1" applyFill="1" applyBorder="1" applyAlignment="1">
      <alignment horizontal="center" vertical="center"/>
    </xf>
    <xf numFmtId="177" fontId="20" fillId="9" borderId="3" xfId="0" applyNumberFormat="1" applyFont="1" applyFill="1" applyBorder="1" applyAlignment="1">
      <alignment horizontal="center" vertical="center"/>
    </xf>
    <xf numFmtId="0" fontId="21" fillId="0" borderId="0" xfId="0" applyFont="1" applyFill="1" applyBorder="1" applyAlignment="1">
      <alignment horizontal="center" vertical="center" wrapText="1"/>
    </xf>
    <xf numFmtId="0" fontId="36" fillId="0" borderId="9" xfId="0" applyFont="1" applyBorder="1"/>
    <xf numFmtId="0" fontId="23" fillId="40" borderId="9" xfId="0" applyFont="1" applyFill="1" applyBorder="1" applyAlignment="1">
      <alignment vertical="center"/>
    </xf>
    <xf numFmtId="0" fontId="26" fillId="40" borderId="9" xfId="0" applyFont="1" applyFill="1" applyBorder="1" applyAlignment="1">
      <alignment vertical="center"/>
    </xf>
    <xf numFmtId="0" fontId="27" fillId="40" borderId="9" xfId="0" applyFont="1" applyFill="1" applyBorder="1" applyAlignment="1">
      <alignment vertical="center"/>
    </xf>
    <xf numFmtId="0" fontId="28" fillId="40" borderId="9" xfId="0" applyFont="1" applyFill="1" applyBorder="1"/>
    <xf numFmtId="0" fontId="23" fillId="9" borderId="9" xfId="0" applyFont="1" applyFill="1" applyBorder="1" applyAlignment="1">
      <alignment vertical="center"/>
    </xf>
    <xf numFmtId="0" fontId="26" fillId="9" borderId="9" xfId="0" applyFont="1" applyFill="1" applyBorder="1" applyAlignment="1">
      <alignment vertical="center"/>
    </xf>
    <xf numFmtId="0" fontId="0" fillId="41" borderId="0" xfId="0" applyFill="1"/>
    <xf numFmtId="0" fontId="0" fillId="42" borderId="18" xfId="0" applyFill="1" applyBorder="1"/>
    <xf numFmtId="0" fontId="0" fillId="41" borderId="18" xfId="0" applyFill="1" applyBorder="1"/>
    <xf numFmtId="14" fontId="0" fillId="41" borderId="18" xfId="0" applyNumberFormat="1" applyFill="1" applyBorder="1"/>
    <xf numFmtId="0" fontId="17" fillId="41" borderId="18" xfId="0" applyFont="1" applyFill="1" applyBorder="1"/>
    <xf numFmtId="0" fontId="0" fillId="41" borderId="19" xfId="0" applyFill="1" applyBorder="1"/>
    <xf numFmtId="0" fontId="0" fillId="41" borderId="20" xfId="0" applyFill="1" applyBorder="1"/>
    <xf numFmtId="178" fontId="0" fillId="41" borderId="18" xfId="0" applyNumberFormat="1" applyFill="1" applyBorder="1"/>
    <xf numFmtId="0" fontId="24" fillId="5" borderId="0" xfId="0" applyFont="1" applyFill="1" applyAlignment="1">
      <alignment horizontal="center" vertical="center"/>
    </xf>
    <xf numFmtId="0" fontId="25" fillId="3" borderId="0" xfId="0" applyFont="1" applyFill="1" applyAlignment="1">
      <alignment horizontal="center" vertical="center"/>
    </xf>
    <xf numFmtId="0" fontId="33" fillId="8" borderId="0" xfId="5" applyFont="1" applyFill="1" applyAlignment="1">
      <alignment horizontal="left" vertical="center" indent="1"/>
    </xf>
    <xf numFmtId="0" fontId="34" fillId="8" borderId="0" xfId="0" applyFont="1" applyFill="1" applyAlignment="1">
      <alignment horizontal="center" vertical="center"/>
    </xf>
    <xf numFmtId="0" fontId="2" fillId="8" borderId="0" xfId="0" applyFont="1" applyFill="1" applyAlignment="1">
      <alignment horizontal="center" vertical="center"/>
    </xf>
    <xf numFmtId="0" fontId="24" fillId="4" borderId="0" xfId="11" applyFont="1" applyFill="1" applyAlignment="1">
      <alignment horizontal="center" vertical="center"/>
    </xf>
    <xf numFmtId="0" fontId="24" fillId="6" borderId="0" xfId="0" applyFont="1" applyFill="1" applyAlignment="1">
      <alignment horizontal="center" vertical="center"/>
    </xf>
    <xf numFmtId="0" fontId="24" fillId="7" borderId="0" xfId="0" applyFont="1" applyFill="1" applyAlignment="1">
      <alignment horizontal="center" vertical="center"/>
    </xf>
  </cellXfs>
  <cellStyles count="50">
    <cellStyle name="20% - アクセント 1" xfId="28" builtinId="30" customBuiltin="1"/>
    <cellStyle name="20% - アクセント 2" xfId="32" builtinId="34" customBuiltin="1"/>
    <cellStyle name="20% - アクセント 3" xfId="35" builtinId="38" customBuiltin="1"/>
    <cellStyle name="20% - アクセント 4" xfId="39" builtinId="42" customBuiltin="1"/>
    <cellStyle name="20% - アクセント 5" xfId="43" builtinId="46" customBuiltin="1"/>
    <cellStyle name="20% - アクセント 6" xfId="47" builtinId="50" customBuiltin="1"/>
    <cellStyle name="40% - アクセント 1" xfId="29" builtinId="31" customBuiltin="1"/>
    <cellStyle name="40% - アクセント 2" xfId="33" builtinId="35" customBuiltin="1"/>
    <cellStyle name="40% - アクセント 3" xfId="36" builtinId="39" customBuiltin="1"/>
    <cellStyle name="40% - アクセント 4" xfId="40" builtinId="43" customBuiltin="1"/>
    <cellStyle name="40% - アクセント 5" xfId="44" builtinId="47" customBuiltin="1"/>
    <cellStyle name="40% - アクセント 6" xfId="48" builtinId="51" customBuiltin="1"/>
    <cellStyle name="60% - アクセント 1" xfId="30" builtinId="32" customBuiltin="1"/>
    <cellStyle name="60% - アクセント 2" xfId="34" builtinId="36" customBuiltin="1"/>
    <cellStyle name="60% - アクセント 3" xfId="37" builtinId="40" customBuiltin="1"/>
    <cellStyle name="60% - アクセント 4" xfId="41" builtinId="44" customBuiltin="1"/>
    <cellStyle name="60% - アクセント 5" xfId="45" builtinId="48" customBuiltin="1"/>
    <cellStyle name="60% - アクセント 6" xfId="49" builtinId="52" customBuiltin="1"/>
    <cellStyle name="z_非表示_テキスト" xfId="3" xr:uid="{26E66EE6-E33F-4D77-BAE4-0FB4F5BBF673}"/>
    <cellStyle name="アクセント 1" xfId="27" builtinId="29" customBuiltin="1"/>
    <cellStyle name="アクセント 2" xfId="31" builtinId="33" customBuiltin="1"/>
    <cellStyle name="アクセント 3" xfId="11" builtinId="37" customBuiltin="1"/>
    <cellStyle name="アクセント 4" xfId="38" builtinId="41" customBuiltin="1"/>
    <cellStyle name="アクセント 5" xfId="42" builtinId="45" customBuiltin="1"/>
    <cellStyle name="アクセント 6" xfId="46" builtinId="49" customBuiltin="1"/>
    <cellStyle name="タイトル" xfId="5" builtinId="15" customBuiltin="1"/>
    <cellStyle name="チェック セル" xfId="22" builtinId="23" customBuiltin="1"/>
    <cellStyle name="どちらでもない" xfId="17" builtinId="28" customBuiltin="1"/>
    <cellStyle name="パーセント" xfId="2" builtinId="5" customBuiltin="1"/>
    <cellStyle name="ハイパーリンク" xfId="1" builtinId="8" customBuiltin="1"/>
    <cellStyle name="メモ" xfId="24" builtinId="10" customBuiltin="1"/>
    <cellStyle name="リンク セル" xfId="21" builtinId="24" customBuiltin="1"/>
    <cellStyle name="悪い" xfId="16" builtinId="27" customBuiltin="1"/>
    <cellStyle name="計算" xfId="20" builtinId="22" customBuiltin="1"/>
    <cellStyle name="警告文" xfId="23" builtinId="11" customBuiltin="1"/>
    <cellStyle name="桁区切り" xfId="10" builtinId="6" customBuiltin="1"/>
    <cellStyle name="桁区切り [0.00]" xfId="4" builtinId="3" customBuiltin="1"/>
    <cellStyle name="見出し 1" xfId="6" builtinId="16" customBuiltin="1"/>
    <cellStyle name="見出し 2" xfId="7" builtinId="17" customBuiltin="1"/>
    <cellStyle name="見出し 3" xfId="8" builtinId="18" customBuiltin="1"/>
    <cellStyle name="見出し 4" xfId="14" builtinId="19" customBuiltin="1"/>
    <cellStyle name="集計" xfId="26" builtinId="25" customBuiltin="1"/>
    <cellStyle name="出力" xfId="19" builtinId="21" customBuiltin="1"/>
    <cellStyle name="説明文" xfId="25" builtinId="53" customBuiltin="1"/>
    <cellStyle name="通貨" xfId="13" builtinId="7" customBuiltin="1"/>
    <cellStyle name="通貨 [0.00]" xfId="12" builtinId="4" customBuiltin="1"/>
    <cellStyle name="日付" xfId="9" xr:uid="{229918B6-DD13-4F5A-97B9-305F7E002AA3}"/>
    <cellStyle name="入力" xfId="18" builtinId="20" customBuiltin="1"/>
    <cellStyle name="標準" xfId="0" builtinId="0" customBuiltin="1"/>
    <cellStyle name="良い" xfId="15" builtinId="26" customBuiltin="1"/>
  </cellStyles>
  <dxfs count="102">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bottom" textRotation="0" wrapText="1" relativeIndent="1" justifyLastLine="0" shrinkToFit="0" readingOrder="0"/>
    </dxf>
    <dxf>
      <font>
        <b/>
        <strike val="0"/>
        <outline val="0"/>
        <shadow val="0"/>
        <u val="none"/>
        <vertAlign val="baseline"/>
        <sz val="12"/>
        <color theme="0"/>
        <name val="Calibri"/>
        <family val="2"/>
        <scheme val="minor"/>
      </font>
      <fill>
        <patternFill patternType="solid">
          <fgColor indexed="64"/>
          <bgColor theme="9" tint="-0.499984740745262"/>
        </patternFill>
      </fill>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96795556505021"/>
        </patternFill>
      </fill>
      <border>
        <left/>
        <right/>
        <top/>
        <bottom style="thin">
          <color theme="0" tint="-0.34998626667073579"/>
        </bottom>
      </border>
    </dxf>
    <dxf>
      <font>
        <color auto="1"/>
      </font>
      <fill>
        <patternFill>
          <bgColor theme="0" tint="-0.14996795556505021"/>
        </patternFill>
      </fill>
      <border>
        <left/>
        <right/>
        <top/>
        <bottom style="thin">
          <color theme="0" tint="-0.34998626667073579"/>
        </bottom>
      </border>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96795556505021"/>
        </patternFill>
      </fill>
      <border>
        <left/>
        <right/>
        <top/>
        <bottom style="thin">
          <color theme="0" tint="-0.34998626667073579"/>
        </bottom>
      </border>
    </dxf>
    <dxf>
      <font>
        <color auto="1"/>
      </font>
      <fill>
        <patternFill>
          <bgColor theme="0" tint="-0.14996795556505021"/>
        </patternFill>
      </fill>
      <border>
        <left/>
        <right/>
        <top/>
        <bottom style="thin">
          <color theme="0" tint="-0.34998626667073579"/>
        </bottom>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b/>
        <i val="0"/>
        <color theme="0"/>
      </font>
      <border>
        <left style="thin">
          <color rgb="FFC00000"/>
        </left>
        <right style="thin">
          <color rgb="FFC00000"/>
        </right>
        <vertical/>
        <horizontal/>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b/>
        <i val="0"/>
        <color theme="0"/>
      </font>
      <border>
        <left style="thin">
          <color rgb="FFC00000"/>
        </left>
        <right style="thin">
          <color rgb="FFC00000"/>
        </right>
        <vertical/>
        <horizontal/>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b/>
        <i val="0"/>
        <color theme="0"/>
      </font>
      <border>
        <left style="thin">
          <color rgb="FFC00000"/>
        </left>
        <right style="thin">
          <color rgb="FFC00000"/>
        </right>
        <vertical/>
        <horizontal/>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96795556505021"/>
        </patternFill>
      </fill>
      <border>
        <left/>
        <right/>
        <top/>
        <bottom style="thin">
          <color theme="0" tint="-0.34998626667073579"/>
        </bottom>
      </border>
    </dxf>
    <dxf>
      <font>
        <b/>
        <i val="0"/>
        <color theme="0"/>
      </font>
      <border>
        <left style="thin">
          <color rgb="FFC00000"/>
        </left>
        <right style="thin">
          <color rgb="FFC00000"/>
        </right>
        <vertical/>
        <horizontal/>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b/>
        <i val="0"/>
        <color theme="0"/>
      </font>
      <border>
        <left style="thin">
          <color rgb="FFC00000"/>
        </left>
        <right style="thin">
          <color rgb="FFC00000"/>
        </right>
        <vertical/>
        <horizontal/>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b/>
        <i val="0"/>
        <color theme="0"/>
      </font>
      <border>
        <left style="thin">
          <color rgb="FFC00000"/>
        </left>
        <right style="thin">
          <color rgb="FFC00000"/>
        </right>
        <vertical/>
        <horizontal/>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b/>
        <i val="0"/>
        <color theme="0"/>
      </font>
      <border>
        <left style="thin">
          <color rgb="FFC00000"/>
        </left>
        <right style="thin">
          <color rgb="FFC00000"/>
        </right>
        <vertical/>
        <horizontal/>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b/>
        <i val="0"/>
        <color theme="0"/>
      </font>
      <border>
        <left style="thin">
          <color rgb="FFC00000"/>
        </left>
        <right style="thin">
          <color rgb="FFC00000"/>
        </right>
        <vertical/>
        <horizontal/>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96795556505021"/>
        </patternFill>
      </fill>
      <border>
        <left/>
        <right/>
        <top/>
        <bottom style="thin">
          <color theme="0" tint="-0.34998626667073579"/>
        </bottom>
      </border>
    </dxf>
    <dxf>
      <font>
        <b/>
        <i val="0"/>
        <color theme="0"/>
      </font>
      <border>
        <left style="thin">
          <color rgb="FFC00000"/>
        </left>
        <right style="thin">
          <color rgb="FFC00000"/>
        </right>
        <vertical/>
        <horizontal/>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b/>
        <i val="0"/>
        <color theme="0"/>
      </font>
      <border>
        <left style="thin">
          <color rgb="FFC00000"/>
        </left>
        <right style="thin">
          <color rgb="FFC00000"/>
        </right>
        <vertical/>
        <horizontal/>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b/>
        <i val="0"/>
        <color theme="0"/>
      </font>
      <border>
        <left style="thin">
          <color rgb="FFC00000"/>
        </left>
        <right style="thin">
          <color rgb="FFC00000"/>
        </right>
        <vertical/>
        <horizontal/>
      </border>
    </dxf>
    <dxf>
      <fill>
        <patternFill>
          <bgColor theme="2" tint="-9.9948118533890809E-2"/>
        </patternFill>
      </fill>
      <border>
        <left/>
        <right/>
        <top/>
        <bottom/>
        <vertical/>
        <horizontal/>
      </border>
    </dxf>
    <dxf>
      <fill>
        <patternFill>
          <bgColor theme="5"/>
        </patternFill>
      </fill>
      <border>
        <left/>
        <right/>
        <top/>
        <bottom/>
        <vertical/>
        <horizontal/>
      </border>
    </dxf>
    <dxf>
      <fill>
        <patternFill>
          <bgColor theme="6"/>
        </patternFill>
      </fill>
      <border>
        <left/>
        <right/>
        <top/>
        <bottom/>
      </border>
    </dxf>
    <dxf>
      <fill>
        <patternFill>
          <bgColor theme="7" tint="-0.24994659260841701"/>
        </patternFill>
      </fill>
      <border>
        <left/>
        <right/>
        <top/>
        <bottom/>
      </border>
    </dxf>
    <dxf>
      <fill>
        <patternFill>
          <bgColor theme="9"/>
        </patternFill>
      </fill>
      <border>
        <left/>
        <right/>
        <top/>
        <bottom/>
      </border>
    </dxf>
    <dxf>
      <font>
        <color auto="1"/>
      </font>
      <fill>
        <patternFill>
          <bgColor theme="0" tint="-4.9989318521683403E-2"/>
        </patternFill>
      </fill>
      <border>
        <left/>
        <right/>
        <top/>
        <bottom style="thin">
          <color theme="0" tint="-0.34998626667073579"/>
        </bottom>
        <vertical/>
        <horizontal/>
      </border>
    </dxf>
    <dxf>
      <font>
        <color auto="1"/>
      </font>
      <fill>
        <patternFill>
          <bgColor theme="0" tint="-0.14996795556505021"/>
        </patternFill>
      </fill>
      <border>
        <left/>
        <right/>
        <top/>
        <bottom style="thin">
          <color theme="0" tint="-0.34998626667073579"/>
        </bottom>
      </border>
    </dxf>
    <dxf>
      <font>
        <color auto="1"/>
      </font>
      <fill>
        <patternFill>
          <bgColor theme="0" tint="-0.14996795556505021"/>
        </patternFill>
      </fill>
      <border>
        <left/>
        <right/>
        <top/>
        <bottom style="thin">
          <color theme="0" tint="-0.34998626667073579"/>
        </bottom>
      </border>
    </dxf>
    <dxf>
      <font>
        <b/>
        <i val="0"/>
        <color theme="0"/>
      </font>
      <border>
        <left style="thin">
          <color rgb="FFC00000"/>
        </left>
        <right style="thin">
          <color rgb="FFC00000"/>
        </right>
        <vertical/>
        <horizontal/>
      </border>
    </dxf>
    <dxf>
      <border diagonalUp="0" diagonalDown="0">
        <left/>
        <right/>
        <top/>
        <bottom/>
        <vertical/>
        <horizontal/>
      </border>
    </dxf>
    <dxf>
      <border diagonalUp="0" diagonalDown="0">
        <left/>
        <right/>
        <top/>
        <bottom/>
        <vertical/>
        <horizontal/>
      </border>
    </dxf>
    <dxf>
      <border diagonalUp="0" diagonalDown="0">
        <left/>
        <right/>
        <top/>
        <bottom/>
        <vertical/>
        <horizontal/>
      </border>
    </dxf>
    <dxf>
      <fill>
        <patternFill>
          <bgColor theme="0" tint="-4.9989318521683403E-2"/>
        </patternFill>
      </fill>
      <border diagonalUp="0" diagonalDown="0">
        <left/>
        <right/>
        <top/>
        <bottom/>
        <vertical/>
        <horizontal/>
      </border>
    </dxf>
    <dxf>
      <font>
        <b/>
        <color theme="1"/>
      </font>
    </dxf>
    <dxf>
      <font>
        <b val="0"/>
        <i val="0"/>
        <color theme="1"/>
      </font>
      <border diagonalUp="0" diagonalDown="0">
        <left/>
        <right/>
        <top/>
        <bottom/>
        <vertical/>
        <horizontal/>
      </border>
    </dxf>
    <dxf>
      <font>
        <b/>
        <color theme="1"/>
      </font>
      <border diagonalUp="0" diagonalDown="0">
        <left/>
        <right/>
        <top/>
        <bottom/>
        <vertical/>
        <horizontal/>
      </border>
    </dxf>
    <dxf>
      <font>
        <b/>
        <color theme="0"/>
      </font>
      <fill>
        <patternFill patternType="solid">
          <fgColor theme="4"/>
          <bgColor theme="4"/>
        </patternFill>
      </fill>
      <border diagonalUp="0" diagonalDown="0">
        <left/>
        <right/>
        <top/>
        <bottom/>
        <vertical/>
        <horizontal/>
      </border>
    </dxf>
    <dxf>
      <font>
        <color auto="1"/>
      </font>
      <border diagonalUp="0" diagonalDown="0">
        <left/>
        <right/>
        <top/>
        <bottom/>
        <vertical/>
        <horizontal/>
      </border>
    </dxf>
    <dxf>
      <fill>
        <patternFill>
          <bgColor theme="1" tint="0.24994659260841701"/>
        </patternFill>
      </fill>
    </dxf>
    <dxf>
      <fill>
        <patternFill patternType="solid">
          <fgColor indexed="64"/>
          <bgColor theme="1" tint="0.34998626667073579"/>
        </patternFill>
      </fill>
      <border diagonalUp="0" diagonalDown="0">
        <left/>
        <right/>
        <top/>
        <bottom/>
        <vertical/>
        <horizontal/>
      </border>
    </dxf>
    <dxf>
      <font>
        <color theme="0"/>
      </font>
      <fill>
        <patternFill>
          <bgColor theme="1" tint="0.34998626667073579"/>
        </patternFill>
      </fill>
      <border diagonalUp="0" diagonalDown="0">
        <left/>
        <right/>
        <top/>
        <bottom/>
        <vertical/>
        <horizontal/>
      </border>
    </dxf>
    <dxf>
      <font>
        <strike val="0"/>
        <color auto="1"/>
      </font>
      <border diagonalUp="0" diagonalDown="0">
        <left/>
        <right/>
        <top/>
        <bottom/>
        <vertical/>
        <horizontal/>
      </border>
    </dxf>
  </dxfs>
  <tableStyles count="2" defaultTableStyle="TableStyleMedium2" defaultPivotStyle="PivotStyleLight16">
    <tableStyle name="ガントの表スタイル" pivot="0" count="4" xr9:uid="{4904D139-63E4-4221-B7C9-C6C5B7A50FAF}">
      <tableStyleElement type="wholeTable" dxfId="101"/>
      <tableStyleElement type="headerRow" dxfId="100"/>
      <tableStyleElement type="firstRowStripe" dxfId="99"/>
      <tableStyleElement type="secondRowStripe" dxfId="98"/>
    </tableStyle>
    <tableStyle name="作業リスト" pivot="0" count="9" xr9:uid="{00000000-0011-0000-FFFF-FFFF00000000}">
      <tableStyleElement type="wholeTable" dxfId="97"/>
      <tableStyleElement type="headerRow" dxfId="96"/>
      <tableStyleElement type="totalRow" dxfId="95"/>
      <tableStyleElement type="firstColumn" dxfId="94"/>
      <tableStyleElement type="lastColumn" dxfId="93"/>
      <tableStyleElement type="firstRowStripe" dxfId="92"/>
      <tableStyleElement type="secondRowStripe" dxfId="91"/>
      <tableStyleElement type="firstColumnStripe" dxfId="90"/>
      <tableStyleElement type="secondColumnStripe" dxfId="89"/>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000000"/>
      <color rgb="FF215881"/>
      <color rgb="FF42648A"/>
      <color rgb="FF969696"/>
      <color rgb="FFC0C0C0"/>
      <color rgb="FF427FC2"/>
      <color rgb="FF44678E"/>
      <color rgb="FF4A6F9C"/>
      <color rgb="FF3969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バーンダウンチャート!$C$6</c:f>
              <c:strCache>
                <c:ptCount val="1"/>
                <c:pt idx="0">
                  <c:v>目標値(残)</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バーンダウンチャート!$B$7:$B$41</c:f>
              <c:numCache>
                <c:formatCode>m/d;@</c:formatCode>
                <c:ptCount val="35"/>
                <c:pt idx="0">
                  <c:v>44332</c:v>
                </c:pt>
                <c:pt idx="1">
                  <c:v>44333</c:v>
                </c:pt>
                <c:pt idx="2">
                  <c:v>44334</c:v>
                </c:pt>
                <c:pt idx="3">
                  <c:v>44335</c:v>
                </c:pt>
                <c:pt idx="4">
                  <c:v>44336</c:v>
                </c:pt>
                <c:pt idx="5">
                  <c:v>44337</c:v>
                </c:pt>
                <c:pt idx="6">
                  <c:v>44338</c:v>
                </c:pt>
                <c:pt idx="7">
                  <c:v>44339</c:v>
                </c:pt>
                <c:pt idx="8">
                  <c:v>44340</c:v>
                </c:pt>
                <c:pt idx="9">
                  <c:v>44341</c:v>
                </c:pt>
                <c:pt idx="10">
                  <c:v>44342</c:v>
                </c:pt>
                <c:pt idx="11">
                  <c:v>44343</c:v>
                </c:pt>
                <c:pt idx="12">
                  <c:v>44344</c:v>
                </c:pt>
                <c:pt idx="13">
                  <c:v>44345</c:v>
                </c:pt>
                <c:pt idx="14">
                  <c:v>44346</c:v>
                </c:pt>
              </c:numCache>
            </c:numRef>
          </c:cat>
          <c:val>
            <c:numRef>
              <c:f>バーンダウンチャート!$C$7:$C$41</c:f>
              <c:numCache>
                <c:formatCode>General</c:formatCode>
                <c:ptCount val="35"/>
                <c:pt idx="0">
                  <c:v>19</c:v>
                </c:pt>
                <c:pt idx="1">
                  <c:v>17</c:v>
                </c:pt>
                <c:pt idx="2">
                  <c:v>16</c:v>
                </c:pt>
                <c:pt idx="3">
                  <c:v>15</c:v>
                </c:pt>
                <c:pt idx="4">
                  <c:v>13</c:v>
                </c:pt>
                <c:pt idx="5">
                  <c:v>12</c:v>
                </c:pt>
                <c:pt idx="6">
                  <c:v>11</c:v>
                </c:pt>
                <c:pt idx="7">
                  <c:v>9</c:v>
                </c:pt>
                <c:pt idx="8">
                  <c:v>8</c:v>
                </c:pt>
                <c:pt idx="9">
                  <c:v>7</c:v>
                </c:pt>
                <c:pt idx="10">
                  <c:v>5</c:v>
                </c:pt>
                <c:pt idx="11">
                  <c:v>4</c:v>
                </c:pt>
                <c:pt idx="12">
                  <c:v>3</c:v>
                </c:pt>
                <c:pt idx="13">
                  <c:v>1</c:v>
                </c:pt>
                <c:pt idx="14">
                  <c:v>0</c:v>
                </c:pt>
              </c:numCache>
            </c:numRef>
          </c:val>
          <c:smooth val="0"/>
          <c:extLst>
            <c:ext xmlns:c16="http://schemas.microsoft.com/office/drawing/2014/chart" uri="{C3380CC4-5D6E-409C-BE32-E72D297353CC}">
              <c16:uniqueId val="{00000000-DD3C-4D76-995E-2CC24A5517B0}"/>
            </c:ext>
          </c:extLst>
        </c:ser>
        <c:ser>
          <c:idx val="1"/>
          <c:order val="1"/>
          <c:tx>
            <c:strRef>
              <c:f>バーンダウンチャート!$D$6</c:f>
              <c:strCache>
                <c:ptCount val="1"/>
                <c:pt idx="0">
                  <c:v>実績値(残)</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バーンダウンチャート!$B$7:$B$41</c:f>
              <c:numCache>
                <c:formatCode>m/d;@</c:formatCode>
                <c:ptCount val="35"/>
                <c:pt idx="0">
                  <c:v>44332</c:v>
                </c:pt>
                <c:pt idx="1">
                  <c:v>44333</c:v>
                </c:pt>
                <c:pt idx="2">
                  <c:v>44334</c:v>
                </c:pt>
                <c:pt idx="3">
                  <c:v>44335</c:v>
                </c:pt>
                <c:pt idx="4">
                  <c:v>44336</c:v>
                </c:pt>
                <c:pt idx="5">
                  <c:v>44337</c:v>
                </c:pt>
                <c:pt idx="6">
                  <c:v>44338</c:v>
                </c:pt>
                <c:pt idx="7">
                  <c:v>44339</c:v>
                </c:pt>
                <c:pt idx="8">
                  <c:v>44340</c:v>
                </c:pt>
                <c:pt idx="9">
                  <c:v>44341</c:v>
                </c:pt>
                <c:pt idx="10">
                  <c:v>44342</c:v>
                </c:pt>
                <c:pt idx="11">
                  <c:v>44343</c:v>
                </c:pt>
                <c:pt idx="12">
                  <c:v>44344</c:v>
                </c:pt>
                <c:pt idx="13">
                  <c:v>44345</c:v>
                </c:pt>
                <c:pt idx="14">
                  <c:v>44346</c:v>
                </c:pt>
              </c:numCache>
            </c:numRef>
          </c:cat>
          <c:val>
            <c:numRef>
              <c:f>バーンダウンチャート!$D$7:$D$41</c:f>
              <c:numCache>
                <c:formatCode>General</c:formatCode>
                <c:ptCount val="35"/>
                <c:pt idx="0">
                  <c:v>19</c:v>
                </c:pt>
                <c:pt idx="1">
                  <c:v>18</c:v>
                </c:pt>
                <c:pt idx="2">
                  <c:v>17</c:v>
                </c:pt>
                <c:pt idx="3">
                  <c:v>16</c:v>
                </c:pt>
                <c:pt idx="4">
                  <c:v>16</c:v>
                </c:pt>
                <c:pt idx="5">
                  <c:v>16</c:v>
                </c:pt>
                <c:pt idx="6">
                  <c:v>12</c:v>
                </c:pt>
              </c:numCache>
            </c:numRef>
          </c:val>
          <c:smooth val="0"/>
          <c:extLst>
            <c:ext xmlns:c16="http://schemas.microsoft.com/office/drawing/2014/chart" uri="{C3380CC4-5D6E-409C-BE32-E72D297353CC}">
              <c16:uniqueId val="{00000002-DD3C-4D76-995E-2CC24A5517B0}"/>
            </c:ext>
          </c:extLst>
        </c:ser>
        <c:dLbls>
          <c:showLegendKey val="0"/>
          <c:showVal val="1"/>
          <c:showCatName val="0"/>
          <c:showSerName val="0"/>
          <c:showPercent val="0"/>
          <c:showBubbleSize val="0"/>
        </c:dLbls>
        <c:smooth val="0"/>
        <c:axId val="188742080"/>
        <c:axId val="188742496"/>
      </c:lineChart>
      <c:dateAx>
        <c:axId val="188742080"/>
        <c:scaling>
          <c:orientation val="minMax"/>
        </c:scaling>
        <c:delete val="0"/>
        <c:axPos val="b"/>
        <c:numFmt formatCode="m/d;@"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8742496"/>
        <c:crosses val="autoZero"/>
        <c:auto val="1"/>
        <c:lblOffset val="100"/>
        <c:baseTimeUnit val="days"/>
      </c:dateAx>
      <c:valAx>
        <c:axId val="188742496"/>
        <c:scaling>
          <c:orientation val="minMax"/>
        </c:scaling>
        <c:delete val="1"/>
        <c:axPos val="l"/>
        <c:numFmt formatCode="General" sourceLinked="1"/>
        <c:majorTickMark val="none"/>
        <c:minorTickMark val="none"/>
        <c:tickLblPos val="nextTo"/>
        <c:crossAx val="18874208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39" fmlaLink="$C$7" horiz="1" max="365" page="2" val="0"/>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28575</xdr:colOff>
          <xdr:row>7</xdr:row>
          <xdr:rowOff>57150</xdr:rowOff>
        </xdr:from>
        <xdr:to>
          <xdr:col>50</xdr:col>
          <xdr:colOff>123825</xdr:colOff>
          <xdr:row>7</xdr:row>
          <xdr:rowOff>238125</xdr:rowOff>
        </xdr:to>
        <xdr:sp macro="" textlink="">
          <xdr:nvSpPr>
            <xdr:cNvPr id="17409" name="スクロール バー 1" descr="スクロール バーを使用して、ガント プロジェクトのタイムラインをスクロールします。"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102053</xdr:colOff>
      <xdr:row>5</xdr:row>
      <xdr:rowOff>13606</xdr:rowOff>
    </xdr:from>
    <xdr:to>
      <xdr:col>29</xdr:col>
      <xdr:colOff>312965</xdr:colOff>
      <xdr:row>40</xdr:row>
      <xdr:rowOff>190499</xdr:rowOff>
    </xdr:to>
    <xdr:graphicFrame macro="">
      <xdr:nvGraphicFramePr>
        <xdr:cNvPr id="2" name="グラフ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66675</xdr:colOff>
          <xdr:row>1</xdr:row>
          <xdr:rowOff>95250</xdr:rowOff>
        </xdr:from>
        <xdr:to>
          <xdr:col>10</xdr:col>
          <xdr:colOff>38100</xdr:colOff>
          <xdr:row>4</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予定作成</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76EA49D-634E-482B-8173-880F7B761E2C}" name="Milestones43524" displayName="Milestones43524" ref="B9:G51" totalsRowShown="0" headerRowDxfId="3">
  <autoFilter ref="B9:G51" xr:uid="{29E5A880-80D5-4B65-B5FB-8FB3913D3D27}">
    <filterColumn colId="0" hiddenButton="1"/>
    <filterColumn colId="1" hiddenButton="1"/>
    <filterColumn colId="2" hiddenButton="1"/>
    <filterColumn colId="3" hiddenButton="1"/>
    <filterColumn colId="4" hiddenButton="1"/>
    <filterColumn colId="5" hiddenButton="1"/>
  </autoFilter>
  <tableColumns count="6">
    <tableColumn id="1" xr3:uid="{0971B905-713A-4980-8BBC-DF959C2E61F9}" name="マイルストーンの説明" dataDxfId="2"/>
    <tableColumn id="2" xr3:uid="{4492A0B8-068F-4002-9E8D-E1F5FED367F0}" name="カテゴリ" dataDxfId="1"/>
    <tableColumn id="3" xr3:uid="{DF1A764E-7050-4528-B7F9-B6AB99372146}" name="成果物" dataDxfId="0"/>
    <tableColumn id="4" xr3:uid="{47C54592-75B0-4C70-BBF8-0F40483670E9}" name="進捗状況"/>
    <tableColumn id="5" xr3:uid="{663FB5E0-7616-4EA5-B56A-FF069E2E07D7}" name="開始日" dataCellStyle="日付"/>
    <tableColumn id="6" xr3:uid="{3B766962-C06F-4E12-BE91-12AB93439874}" name="日数"/>
  </tableColumns>
  <tableStyleInfo name="作業リスト" showFirstColumn="1" showLastColumn="0" showRowStripes="1" showColumnStripes="0"/>
  <extLst>
    <ext xmlns:x14="http://schemas.microsoft.com/office/spreadsheetml/2009/9/main" uri="{504A1905-F514-4f6f-8877-14C23A59335A}">
      <x14:table altTextSummary="このテーブルにプロジェクト情報を入力します。説明の下の列に、フェーズ、タスク、アクティビティなどのマイルストーンの説明を入力します。[カテゴリ] 列でカテゴリを選択します。[担当者] 列のユーザーにアイテムを割り当てます。進捗状況を更新し、[進行状況] 列のデータ バーが自動更新されるのを確認します。[開始] 列に開始日、[日数] 列に日数を入力します。セル J9 から BM 34 のガント データは自動的に更新されます。さらにタスクを追加するには、テーブルに新しい行を追加します。"/>
    </ext>
  </extLst>
</table>
</file>

<file path=xl/theme/theme1.xml><?xml version="1.0" encoding="utf-8"?>
<a:theme xmlns:a="http://schemas.openxmlformats.org/drawingml/2006/main" name="Attitude">
  <a:themeElements>
    <a:clrScheme name="Custom 60">
      <a:dk1>
        <a:srgbClr val="000000"/>
      </a:dk1>
      <a:lt1>
        <a:sysClr val="window" lastClr="FFFFFF"/>
      </a:lt1>
      <a:dk2>
        <a:srgbClr val="8439BD"/>
      </a:dk2>
      <a:lt2>
        <a:srgbClr val="FFFFFF"/>
      </a:lt2>
      <a:accent1>
        <a:srgbClr val="0EABB7"/>
      </a:accent1>
      <a:accent2>
        <a:srgbClr val="4868E5"/>
      </a:accent2>
      <a:accent3>
        <a:srgbClr val="20A472"/>
      </a:accent3>
      <a:accent4>
        <a:srgbClr val="B13DC8"/>
      </a:accent4>
      <a:accent5>
        <a:srgbClr val="172DA6"/>
      </a:accent5>
      <a:accent6>
        <a:srgbClr val="00B0F0"/>
      </a:accent6>
      <a:hlink>
        <a:srgbClr val="00B0F0"/>
      </a:hlink>
      <a:folHlink>
        <a:srgbClr val="B036B3"/>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B8625-911A-4DD3-B0BE-8E3C7AEA3578}">
  <sheetPr codeName="Sheet1">
    <pageSetUpPr fitToPage="1"/>
  </sheetPr>
  <dimension ref="A1:EK53"/>
  <sheetViews>
    <sheetView showGridLines="0" showRuler="0" zoomScale="70" zoomScaleNormal="70" zoomScalePageLayoutView="70" workbookViewId="0">
      <pane xSplit="8" ySplit="10" topLeftCell="I11" activePane="bottomRight" state="frozen"/>
      <selection pane="topRight" activeCell="I1" sqref="I1"/>
      <selection pane="bottomLeft" activeCell="A11" sqref="A11"/>
      <selection pane="bottomRight" activeCell="B11" sqref="B11"/>
    </sheetView>
  </sheetViews>
  <sheetFormatPr defaultColWidth="8.88671875" defaultRowHeight="30" customHeight="1" x14ac:dyDescent="0.25"/>
  <cols>
    <col min="1" max="1" width="4.77734375" style="4" customWidth="1"/>
    <col min="2" max="2" width="30.77734375" style="6" customWidth="1"/>
    <col min="3" max="3" width="13.33203125" style="6" customWidth="1"/>
    <col min="4" max="4" width="20.6640625" style="6" customWidth="1"/>
    <col min="5" max="5" width="15.77734375" style="6" customWidth="1"/>
    <col min="6" max="6" width="10.44140625" style="2" customWidth="1"/>
    <col min="7" max="7" width="10.44140625" style="6" customWidth="1"/>
    <col min="8" max="8" width="2.77734375" style="6" customWidth="1"/>
    <col min="9" max="140" width="3.6640625" style="6" customWidth="1"/>
    <col min="141" max="16384" width="8.88671875" style="6"/>
  </cols>
  <sheetData>
    <row r="1" spans="1:141" ht="25.15" customHeight="1" x14ac:dyDescent="0.25"/>
    <row r="2" spans="1:141" ht="49.9" customHeight="1" x14ac:dyDescent="0.25">
      <c r="A2" s="5"/>
      <c r="B2" s="89" t="s">
        <v>17</v>
      </c>
      <c r="C2" s="89"/>
      <c r="D2" s="89"/>
      <c r="E2" s="89"/>
      <c r="F2" s="89"/>
      <c r="G2" s="89"/>
      <c r="H2" s="89"/>
      <c r="I2" s="90"/>
      <c r="J2" s="90"/>
      <c r="K2" s="90"/>
      <c r="L2" s="90"/>
      <c r="M2" s="90"/>
      <c r="N2" s="90"/>
      <c r="O2" s="91"/>
      <c r="P2" s="91"/>
      <c r="Q2" s="91"/>
      <c r="R2" s="91"/>
      <c r="S2" s="91"/>
      <c r="T2" s="91"/>
      <c r="U2" s="60"/>
      <c r="V2" s="60"/>
      <c r="W2" s="60"/>
      <c r="X2" s="60"/>
      <c r="Y2" s="60"/>
      <c r="Z2" s="60"/>
      <c r="AA2" s="60"/>
      <c r="AB2" s="60"/>
      <c r="AC2" s="60"/>
      <c r="AD2" s="60"/>
      <c r="AE2" s="60"/>
      <c r="AF2" s="60"/>
      <c r="AG2" s="60"/>
      <c r="AH2" s="60"/>
      <c r="AI2" s="60"/>
      <c r="AJ2" s="60"/>
      <c r="AK2" s="60"/>
      <c r="AL2" s="60"/>
      <c r="AM2" s="60"/>
      <c r="AN2" s="60"/>
      <c r="AO2" s="60"/>
      <c r="AP2" s="60"/>
      <c r="AQ2" s="60"/>
      <c r="AR2" s="60"/>
      <c r="AS2" s="60"/>
      <c r="AT2" s="60"/>
      <c r="AU2" s="60"/>
      <c r="AV2" s="60"/>
      <c r="AW2" s="60"/>
      <c r="AX2" s="60"/>
      <c r="AY2" s="60"/>
      <c r="AZ2" s="60"/>
      <c r="BA2" s="60"/>
      <c r="BB2" s="60"/>
      <c r="BC2" s="60"/>
      <c r="BD2" s="60"/>
      <c r="BE2" s="60"/>
      <c r="BF2" s="60"/>
      <c r="BG2" s="60"/>
      <c r="BH2" s="60"/>
      <c r="BI2" s="60"/>
      <c r="BJ2" s="60"/>
      <c r="BK2" s="60"/>
      <c r="BL2" s="60"/>
      <c r="BM2" s="60"/>
      <c r="BN2" s="60"/>
      <c r="BO2" s="60"/>
      <c r="BP2" s="60"/>
      <c r="BQ2" s="60"/>
      <c r="BR2" s="60"/>
      <c r="BS2" s="60"/>
      <c r="BT2" s="60"/>
      <c r="BU2" s="60"/>
      <c r="BV2" s="60"/>
      <c r="BW2" s="60"/>
      <c r="BX2" s="60"/>
      <c r="BY2" s="60"/>
      <c r="BZ2" s="60"/>
      <c r="CA2" s="60"/>
      <c r="CB2" s="60"/>
      <c r="CC2" s="60"/>
      <c r="CD2" s="60"/>
      <c r="CE2" s="60"/>
      <c r="CF2" s="60"/>
      <c r="CG2" s="60"/>
      <c r="CH2" s="60"/>
      <c r="CI2" s="60"/>
      <c r="CJ2" s="60"/>
      <c r="CK2" s="60"/>
      <c r="CL2" s="60"/>
      <c r="CM2" s="60"/>
      <c r="CN2" s="60"/>
      <c r="CO2" s="60"/>
      <c r="CP2" s="60"/>
      <c r="CQ2" s="60"/>
      <c r="CR2" s="60"/>
      <c r="CS2" s="60"/>
      <c r="CT2" s="60"/>
      <c r="CU2" s="60"/>
      <c r="CV2" s="60"/>
      <c r="CW2" s="60"/>
      <c r="CX2" s="60"/>
      <c r="CY2" s="60"/>
      <c r="CZ2" s="60"/>
      <c r="DA2" s="60"/>
      <c r="DB2" s="60"/>
      <c r="DC2" s="60"/>
      <c r="DD2" s="60"/>
      <c r="DE2" s="60"/>
      <c r="DF2" s="60"/>
      <c r="DG2" s="60"/>
      <c r="DH2" s="60"/>
      <c r="DI2" s="60"/>
      <c r="DJ2" s="60"/>
      <c r="DK2" s="60"/>
      <c r="DL2" s="60"/>
      <c r="DM2" s="60"/>
      <c r="DN2" s="60"/>
      <c r="DO2" s="60"/>
      <c r="DP2" s="60"/>
      <c r="DQ2" s="60"/>
      <c r="DR2" s="60"/>
      <c r="DS2" s="60"/>
      <c r="DT2" s="60"/>
      <c r="DU2" s="60"/>
      <c r="DV2" s="60"/>
      <c r="DW2" s="60"/>
      <c r="DX2" s="60"/>
      <c r="DY2" s="60"/>
      <c r="DZ2" s="60"/>
      <c r="EA2" s="60"/>
      <c r="EB2" s="60"/>
      <c r="EC2" s="60"/>
      <c r="ED2" s="60"/>
      <c r="EE2" s="60"/>
      <c r="EF2" s="60"/>
      <c r="EG2" s="60"/>
      <c r="EH2" s="60"/>
      <c r="EI2" s="60"/>
      <c r="EJ2" s="60"/>
    </row>
    <row r="3" spans="1:141" ht="19.899999999999999" customHeight="1" x14ac:dyDescent="0.25">
      <c r="A3" s="5"/>
      <c r="B3" s="20"/>
      <c r="C3" s="21"/>
      <c r="D3" s="22"/>
      <c r="E3" s="22"/>
      <c r="F3" s="23"/>
      <c r="G3" s="22"/>
      <c r="H3" s="22"/>
      <c r="I3" s="24"/>
      <c r="J3" s="15"/>
      <c r="K3" s="15"/>
      <c r="L3" s="15"/>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6"/>
      <c r="DV3" s="16"/>
      <c r="DW3" s="16"/>
      <c r="DX3" s="16"/>
      <c r="DY3" s="16"/>
      <c r="DZ3" s="16"/>
      <c r="EA3" s="16"/>
      <c r="EB3" s="16"/>
      <c r="EC3" s="16"/>
      <c r="ED3" s="16"/>
      <c r="EE3" s="16"/>
      <c r="EF3" s="16"/>
      <c r="EG3" s="16"/>
      <c r="EH3" s="16"/>
      <c r="EI3" s="16"/>
      <c r="EJ3" s="16"/>
    </row>
    <row r="4" spans="1:141" ht="30" customHeight="1" x14ac:dyDescent="0.25">
      <c r="A4" s="5"/>
      <c r="B4" s="25" t="s">
        <v>16</v>
      </c>
      <c r="C4" s="26"/>
      <c r="D4" s="27"/>
      <c r="E4" s="28"/>
      <c r="F4" s="29"/>
      <c r="G4" s="30" t="s">
        <v>13</v>
      </c>
      <c r="H4" s="28"/>
      <c r="I4" s="92" t="s">
        <v>10</v>
      </c>
      <c r="J4" s="92"/>
      <c r="K4" s="92"/>
      <c r="L4" s="92"/>
      <c r="M4" s="17"/>
      <c r="N4" s="93" t="s">
        <v>7</v>
      </c>
      <c r="O4" s="93"/>
      <c r="P4" s="93"/>
      <c r="Q4" s="93"/>
      <c r="R4" s="17"/>
      <c r="S4" s="94" t="s">
        <v>8</v>
      </c>
      <c r="T4" s="94"/>
      <c r="U4" s="94"/>
      <c r="V4" s="94"/>
      <c r="W4" s="17"/>
      <c r="X4" s="87" t="s">
        <v>9</v>
      </c>
      <c r="Y4" s="87"/>
      <c r="Z4" s="87"/>
      <c r="AA4" s="87"/>
      <c r="AB4" s="17"/>
      <c r="AC4" s="88" t="s">
        <v>15</v>
      </c>
      <c r="AD4" s="88"/>
      <c r="AE4" s="88"/>
      <c r="AF4" s="88"/>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17"/>
      <c r="BK4" s="17"/>
      <c r="BL4" s="17"/>
      <c r="BM4" s="17"/>
      <c r="BN4" s="17"/>
      <c r="BO4" s="17"/>
      <c r="BP4" s="17"/>
      <c r="BQ4" s="17"/>
      <c r="BR4" s="17"/>
      <c r="BS4" s="17"/>
      <c r="BT4" s="17"/>
      <c r="BU4" s="17"/>
      <c r="BV4" s="17"/>
      <c r="BW4" s="17"/>
      <c r="BX4" s="17"/>
      <c r="BY4" s="17"/>
      <c r="BZ4" s="17"/>
      <c r="CA4" s="17"/>
      <c r="CB4" s="17"/>
      <c r="CC4" s="17"/>
      <c r="CD4" s="17"/>
      <c r="CE4" s="17"/>
      <c r="CF4" s="17"/>
      <c r="CG4" s="17"/>
      <c r="CH4" s="17"/>
      <c r="CI4" s="17"/>
      <c r="CJ4" s="17"/>
      <c r="CK4" s="17"/>
      <c r="CL4" s="17"/>
      <c r="CM4" s="17"/>
      <c r="CN4" s="17"/>
      <c r="CO4" s="17"/>
      <c r="CP4" s="17"/>
      <c r="CQ4" s="17"/>
      <c r="CR4" s="17"/>
      <c r="CS4" s="17"/>
      <c r="CT4" s="17"/>
      <c r="CU4" s="17"/>
      <c r="CV4" s="17"/>
      <c r="CW4" s="17"/>
      <c r="CX4" s="17"/>
      <c r="CY4" s="17"/>
      <c r="CZ4" s="17"/>
      <c r="DA4" s="17"/>
      <c r="DB4" s="17"/>
      <c r="DC4" s="17"/>
      <c r="DD4" s="17"/>
      <c r="DE4" s="17"/>
      <c r="DF4" s="17"/>
      <c r="DG4" s="17"/>
      <c r="DH4" s="17"/>
      <c r="DI4" s="17"/>
      <c r="DJ4" s="17"/>
      <c r="DK4" s="17"/>
      <c r="DL4" s="17"/>
      <c r="DM4" s="17"/>
      <c r="DN4" s="17"/>
      <c r="DO4" s="17"/>
      <c r="DP4" s="17"/>
      <c r="DQ4" s="17"/>
      <c r="DR4" s="17"/>
      <c r="DS4" s="17"/>
      <c r="DT4" s="17"/>
      <c r="DU4" s="17"/>
      <c r="DV4" s="17"/>
      <c r="DW4" s="17"/>
      <c r="DX4" s="17"/>
      <c r="DY4" s="17"/>
      <c r="DZ4" s="17"/>
      <c r="EA4" s="17"/>
      <c r="EB4" s="17"/>
      <c r="EC4" s="17"/>
      <c r="ED4" s="17"/>
      <c r="EE4" s="17"/>
      <c r="EF4" s="17"/>
      <c r="EG4" s="17"/>
      <c r="EH4" s="17"/>
      <c r="EI4" s="17"/>
      <c r="EJ4" s="17"/>
    </row>
    <row r="5" spans="1:141" ht="30" customHeight="1" x14ac:dyDescent="0.25">
      <c r="A5" s="5"/>
      <c r="B5" s="31" t="s">
        <v>0</v>
      </c>
      <c r="C5" s="27"/>
      <c r="D5" s="27"/>
      <c r="E5" s="28"/>
      <c r="F5" s="29"/>
      <c r="G5" s="32"/>
      <c r="H5" s="32"/>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c r="AZ5" s="16"/>
      <c r="BA5" s="16"/>
      <c r="BB5" s="16"/>
      <c r="BC5" s="16"/>
      <c r="BD5" s="16"/>
      <c r="BE5" s="16"/>
      <c r="BF5" s="16"/>
      <c r="BG5" s="16"/>
      <c r="BH5" s="16"/>
      <c r="BI5" s="16"/>
      <c r="BJ5" s="16"/>
      <c r="BK5" s="16"/>
      <c r="BL5" s="16"/>
      <c r="BM5" s="16"/>
      <c r="BN5" s="16"/>
      <c r="BO5" s="16"/>
      <c r="BP5" s="16"/>
      <c r="BQ5" s="16"/>
      <c r="BR5" s="16"/>
      <c r="BS5" s="16"/>
      <c r="BT5" s="16"/>
      <c r="BU5" s="16"/>
      <c r="BV5" s="16"/>
      <c r="BW5" s="16"/>
      <c r="BX5" s="16"/>
      <c r="BY5" s="16"/>
      <c r="BZ5" s="16"/>
      <c r="CA5" s="16"/>
      <c r="CB5" s="16"/>
      <c r="CC5" s="16"/>
      <c r="CD5" s="16"/>
      <c r="CE5" s="16"/>
      <c r="CF5" s="16"/>
      <c r="CG5" s="16"/>
      <c r="CH5" s="16"/>
      <c r="CI5" s="16"/>
      <c r="CJ5" s="16"/>
      <c r="CK5" s="16"/>
      <c r="CL5" s="16"/>
      <c r="CM5" s="16"/>
      <c r="CN5" s="16"/>
      <c r="CO5" s="16"/>
      <c r="CP5" s="16"/>
      <c r="CQ5" s="16"/>
      <c r="CR5" s="16"/>
      <c r="CS5" s="16"/>
      <c r="CT5" s="16"/>
      <c r="CU5" s="16"/>
      <c r="CV5" s="16"/>
      <c r="CW5" s="16"/>
      <c r="CX5" s="16"/>
      <c r="CY5" s="16"/>
      <c r="CZ5" s="16"/>
      <c r="DA5" s="16"/>
      <c r="DB5" s="16"/>
      <c r="DC5" s="16"/>
      <c r="DD5" s="16"/>
      <c r="DE5" s="16"/>
      <c r="DF5" s="16"/>
      <c r="DG5" s="16"/>
      <c r="DH5" s="16"/>
      <c r="DI5" s="16"/>
      <c r="DJ5" s="16"/>
      <c r="DK5" s="16"/>
      <c r="DL5" s="16"/>
      <c r="DM5" s="16"/>
      <c r="DN5" s="16"/>
      <c r="DO5" s="16"/>
      <c r="DP5" s="16"/>
      <c r="DQ5" s="16"/>
      <c r="DR5" s="16"/>
      <c r="DS5" s="16"/>
      <c r="DT5" s="16"/>
      <c r="DU5" s="16"/>
      <c r="DV5" s="16"/>
      <c r="DW5" s="16"/>
      <c r="DX5" s="16"/>
      <c r="DY5" s="16"/>
      <c r="DZ5" s="16"/>
      <c r="EA5" s="16"/>
      <c r="EB5" s="16"/>
      <c r="EC5" s="16"/>
      <c r="ED5" s="16"/>
      <c r="EE5" s="16"/>
      <c r="EF5" s="16"/>
      <c r="EG5" s="16"/>
      <c r="EH5" s="16"/>
      <c r="EI5" s="16"/>
      <c r="EJ5" s="16"/>
    </row>
    <row r="6" spans="1:141" ht="30" customHeight="1" x14ac:dyDescent="0.3">
      <c r="A6" s="5"/>
      <c r="B6" s="33" t="s">
        <v>1</v>
      </c>
      <c r="C6" s="34">
        <f ca="1">TODAY()</f>
        <v>44339</v>
      </c>
      <c r="D6" s="35"/>
      <c r="E6" s="28"/>
      <c r="F6" s="36"/>
      <c r="G6" s="28"/>
      <c r="H6" s="28"/>
      <c r="I6" s="37" t="str">
        <f ca="1">TEXT(I7,"m月")</f>
        <v>5月</v>
      </c>
      <c r="J6" s="37"/>
      <c r="K6" s="37"/>
      <c r="L6" s="37"/>
      <c r="M6" s="37"/>
      <c r="N6" s="37"/>
      <c r="O6" s="37"/>
      <c r="P6" s="37" t="str">
        <f ca="1">IF(TEXT(P7,"m月")=I6,"",TEXT(P7,"m月"))</f>
        <v/>
      </c>
      <c r="Q6" s="37"/>
      <c r="R6" s="37"/>
      <c r="S6" s="37"/>
      <c r="T6" s="37"/>
      <c r="U6" s="37"/>
      <c r="V6" s="37"/>
      <c r="W6" s="37" t="str">
        <f ca="1">IF(OR(TEXT(W7,"m月")=P6,TEXT(W7,"m月")=I6),"",TEXT(W7,"m月"))</f>
        <v>6月</v>
      </c>
      <c r="X6" s="37"/>
      <c r="Y6" s="37"/>
      <c r="Z6" s="37"/>
      <c r="AA6" s="37"/>
      <c r="AB6" s="37"/>
      <c r="AC6" s="37"/>
      <c r="AD6" s="37" t="str">
        <f ca="1">IF(OR(TEXT(AD7,"m月")=W6,TEXT(AD7,"m月")=P6,TEXT(AD7,"m月")=I6),"",TEXT(AD7,"m月"))</f>
        <v/>
      </c>
      <c r="AE6" s="37"/>
      <c r="AF6" s="37"/>
      <c r="AG6" s="37"/>
      <c r="AH6" s="37"/>
      <c r="AI6" s="37"/>
      <c r="AJ6" s="37"/>
      <c r="AK6" s="37" t="str">
        <f ca="1">IF(OR(TEXT(AK7,"m月")=AD6,TEXT(AK7,"m月")=W6,TEXT(AK7,"m月")=P6,TEXT(AK7,"m月")=I6),"",TEXT(AK7,"m月"))</f>
        <v/>
      </c>
      <c r="AL6" s="37"/>
      <c r="AM6" s="37"/>
      <c r="AN6" s="37"/>
      <c r="AO6" s="37"/>
      <c r="AP6" s="37"/>
      <c r="AQ6" s="37"/>
      <c r="AR6" s="37" t="str">
        <f ca="1">IF(OR(TEXT(AR7,"m月")=AK6,TEXT(AR7,"m月")=AD6,TEXT(AR7,"m月")=W6,TEXT(AR7,"m月")=P6),"",TEXT(AR7,"m月"))</f>
        <v/>
      </c>
      <c r="AS6" s="37"/>
      <c r="AT6" s="37"/>
      <c r="AU6" s="37"/>
      <c r="AV6" s="37"/>
      <c r="AW6" s="37"/>
      <c r="AX6" s="38"/>
      <c r="AY6" s="38" t="str">
        <f ca="1">IF(OR(TEXT(AY7,"m月")=AR6,TEXT(AY7,"m月")=AK6,TEXT(AY7,"m月")=AD6,TEXT(AY7,"m月")=W6),"",TEXT(AY7,"m月"))</f>
        <v>7月</v>
      </c>
      <c r="AZ6" s="38"/>
      <c r="BA6" s="38"/>
      <c r="BB6" s="39"/>
      <c r="BC6" s="40"/>
      <c r="BD6" s="40"/>
      <c r="BE6" s="40"/>
      <c r="BF6" s="72" t="str">
        <f ca="1">IF(OR(TEXT(BF7,"m月")=AY6,TEXT(BF7,"m月")=AR6,TEXT(BF7,"m月")=AK6,TEXT(BF7,"m月")=AD6),"",TEXT(BF7,"m月"))</f>
        <v/>
      </c>
      <c r="BG6" s="40"/>
      <c r="BH6" s="40"/>
      <c r="BI6" s="40"/>
      <c r="BJ6" s="40"/>
      <c r="BK6" s="40"/>
      <c r="BL6" s="40"/>
      <c r="BM6" s="40"/>
      <c r="BN6" s="40"/>
      <c r="BO6" s="40"/>
      <c r="BP6" s="40"/>
      <c r="BQ6" s="40"/>
      <c r="BR6" s="40"/>
      <c r="BS6" s="40"/>
      <c r="BT6" s="40"/>
      <c r="BU6" s="40"/>
      <c r="BV6" s="40"/>
      <c r="BW6" s="40"/>
      <c r="BX6" s="40"/>
      <c r="BY6" s="40"/>
      <c r="BZ6" s="40"/>
      <c r="CA6" s="40"/>
      <c r="CB6" s="40"/>
      <c r="CC6" s="40"/>
      <c r="CD6" s="40"/>
      <c r="CE6" s="40"/>
      <c r="CF6" s="40"/>
      <c r="CG6" s="40"/>
      <c r="CH6" s="73" t="str">
        <f ca="1">IF(OR(TEXT(CH7,"m月")=CA6,TEXT(CH7,"m月")=BT6,TEXT(CH7,"m月")=BM6),"",TEXT(CH7,"m月"))</f>
        <v>8月</v>
      </c>
      <c r="CI6" s="73"/>
      <c r="CJ6" s="73"/>
      <c r="CK6" s="73"/>
      <c r="CL6" s="73"/>
      <c r="CM6" s="73"/>
      <c r="CN6" s="73"/>
      <c r="CO6" s="73" t="str">
        <f ca="1">IF(OR(TEXT(CO7,"m月")=CH6,TEXT(CO7,"m月")=CA6,TEXT(CO7,"m月")=BT6,TEXT(CO7,"m月")=BM6),"",TEXT(CO7,"m月"))</f>
        <v/>
      </c>
      <c r="CP6" s="73"/>
      <c r="CQ6" s="73"/>
      <c r="CR6" s="73"/>
      <c r="CS6" s="73"/>
      <c r="CT6" s="73"/>
      <c r="CU6" s="73"/>
      <c r="CV6" s="73" t="str">
        <f ca="1">IF(OR(TEXT(CV7,"m月")=CO6,TEXT(CV7,"m月")=CH6,TEXT(CV7,"m月")=CA6,TEXT(CV7,"m月")=BT6),"",TEXT(CV7,"m月"))</f>
        <v/>
      </c>
      <c r="CW6" s="73"/>
      <c r="CX6" s="73"/>
      <c r="CY6" s="73"/>
      <c r="CZ6" s="73"/>
      <c r="DA6" s="73"/>
      <c r="DB6" s="74"/>
      <c r="DC6" s="74" t="str">
        <f ca="1">IF(OR(TEXT(DC7,"m月")=CV6,TEXT(DC7,"m月")=CO6,TEXT(DC7,"m月")=CH6,TEXT(DC7,"m月")=CA6),"",TEXT(DC7,"m月"))</f>
        <v/>
      </c>
      <c r="DD6" s="74"/>
      <c r="DE6" s="74"/>
      <c r="DF6" s="75"/>
      <c r="DG6" s="76"/>
      <c r="DH6" s="76"/>
      <c r="DI6" s="76"/>
      <c r="DJ6" s="76"/>
      <c r="DK6" s="76"/>
      <c r="DL6" s="76"/>
      <c r="DM6" s="77" t="str">
        <f ca="1">IF(OR(TEXT(DM7,"m月")=DF6,TEXT(DM7,"m月")=CY6,TEXT(DM7,"m月")=CR6),"",TEXT(DM7,"m月"))</f>
        <v>9月</v>
      </c>
      <c r="DN6" s="77"/>
      <c r="DO6" s="77"/>
      <c r="DP6" s="77"/>
      <c r="DQ6" s="77"/>
      <c r="DR6" s="77"/>
      <c r="DS6" s="77"/>
      <c r="DT6" s="77" t="str">
        <f ca="1">IF(OR(TEXT(DT7,"m月")=DM6,TEXT(DT7,"m月")=DF6,TEXT(DT7,"m月")=CY6,TEXT(DT7,"m月")=CR6),"",TEXT(DT7,"m月"))</f>
        <v/>
      </c>
      <c r="DU6" s="77"/>
      <c r="DV6" s="77"/>
      <c r="DW6" s="77"/>
      <c r="DX6" s="77"/>
      <c r="DY6" s="77"/>
      <c r="DZ6" s="77"/>
      <c r="EA6" s="77" t="str">
        <f ca="1">IF(OR(TEXT(EA7,"m月")=DT6,TEXT(EA7,"m月")=DM6,TEXT(EA7,"m月")=DF6,TEXT(EA7,"m月")=CY6),"",TEXT(EA7,"m月"))</f>
        <v/>
      </c>
      <c r="EB6" s="77"/>
      <c r="EC6" s="77"/>
      <c r="ED6" s="77"/>
      <c r="EE6" s="77"/>
      <c r="EF6" s="77"/>
      <c r="EG6" s="78"/>
      <c r="EH6" s="78" t="str">
        <f ca="1">IF(OR(TEXT(EH7,"m月")=EA6,TEXT(EH7,"m月")=DT6,TEXT(EH7,"m月")=DM6,TEXT(EH7,"m月")=DF6),"",TEXT(EH7,"m月"))</f>
        <v/>
      </c>
      <c r="EI6" s="78"/>
      <c r="EJ6" s="78"/>
      <c r="EK6" s="39"/>
    </row>
    <row r="7" spans="1:141" ht="30" customHeight="1" x14ac:dyDescent="0.25">
      <c r="A7" s="5"/>
      <c r="B7" s="33" t="s">
        <v>2</v>
      </c>
      <c r="C7" s="41">
        <v>0</v>
      </c>
      <c r="D7" s="27"/>
      <c r="E7" s="28"/>
      <c r="F7" s="32"/>
      <c r="G7" s="32"/>
      <c r="H7" s="42"/>
      <c r="I7" s="63">
        <f ca="1">IFERROR(Project_Start+Scrolling_Increment,TODAY())</f>
        <v>44339</v>
      </c>
      <c r="J7" s="64">
        <f ca="1">I7+1</f>
        <v>44340</v>
      </c>
      <c r="K7" s="64">
        <f t="shared" ref="K7:AX7" ca="1" si="0">J7+1</f>
        <v>44341</v>
      </c>
      <c r="L7" s="64">
        <f t="shared" ca="1" si="0"/>
        <v>44342</v>
      </c>
      <c r="M7" s="64">
        <f t="shared" ca="1" si="0"/>
        <v>44343</v>
      </c>
      <c r="N7" s="64">
        <f t="shared" ca="1" si="0"/>
        <v>44344</v>
      </c>
      <c r="O7" s="65">
        <f t="shared" ca="1" si="0"/>
        <v>44345</v>
      </c>
      <c r="P7" s="64">
        <f ca="1">O7+1</f>
        <v>44346</v>
      </c>
      <c r="Q7" s="64">
        <f ca="1">P7+1</f>
        <v>44347</v>
      </c>
      <c r="R7" s="64">
        <f t="shared" ca="1" si="0"/>
        <v>44348</v>
      </c>
      <c r="S7" s="64">
        <f t="shared" ca="1" si="0"/>
        <v>44349</v>
      </c>
      <c r="T7" s="64">
        <f t="shared" ca="1" si="0"/>
        <v>44350</v>
      </c>
      <c r="U7" s="64">
        <f t="shared" ca="1" si="0"/>
        <v>44351</v>
      </c>
      <c r="V7" s="65">
        <f t="shared" ca="1" si="0"/>
        <v>44352</v>
      </c>
      <c r="W7" s="64">
        <f ca="1">V7+1</f>
        <v>44353</v>
      </c>
      <c r="X7" s="64">
        <f ca="1">W7+1</f>
        <v>44354</v>
      </c>
      <c r="Y7" s="64">
        <f t="shared" ca="1" si="0"/>
        <v>44355</v>
      </c>
      <c r="Z7" s="64">
        <f t="shared" ca="1" si="0"/>
        <v>44356</v>
      </c>
      <c r="AA7" s="64">
        <f t="shared" ca="1" si="0"/>
        <v>44357</v>
      </c>
      <c r="AB7" s="64">
        <f t="shared" ca="1" si="0"/>
        <v>44358</v>
      </c>
      <c r="AC7" s="65">
        <f t="shared" ca="1" si="0"/>
        <v>44359</v>
      </c>
      <c r="AD7" s="64">
        <f ca="1">AC7+1</f>
        <v>44360</v>
      </c>
      <c r="AE7" s="64">
        <f ca="1">AD7+1</f>
        <v>44361</v>
      </c>
      <c r="AF7" s="64">
        <f t="shared" ca="1" si="0"/>
        <v>44362</v>
      </c>
      <c r="AG7" s="64">
        <f t="shared" ca="1" si="0"/>
        <v>44363</v>
      </c>
      <c r="AH7" s="64">
        <f t="shared" ca="1" si="0"/>
        <v>44364</v>
      </c>
      <c r="AI7" s="64">
        <f t="shared" ca="1" si="0"/>
        <v>44365</v>
      </c>
      <c r="AJ7" s="65">
        <f t="shared" ca="1" si="0"/>
        <v>44366</v>
      </c>
      <c r="AK7" s="64">
        <f ca="1">AJ7+1</f>
        <v>44367</v>
      </c>
      <c r="AL7" s="64">
        <f ca="1">AK7+1</f>
        <v>44368</v>
      </c>
      <c r="AM7" s="64">
        <f t="shared" ca="1" si="0"/>
        <v>44369</v>
      </c>
      <c r="AN7" s="64">
        <f t="shared" ca="1" si="0"/>
        <v>44370</v>
      </c>
      <c r="AO7" s="64">
        <f t="shared" ca="1" si="0"/>
        <v>44371</v>
      </c>
      <c r="AP7" s="64">
        <f t="shared" ca="1" si="0"/>
        <v>44372</v>
      </c>
      <c r="AQ7" s="65">
        <f t="shared" ca="1" si="0"/>
        <v>44373</v>
      </c>
      <c r="AR7" s="64">
        <f ca="1">AQ7+1</f>
        <v>44374</v>
      </c>
      <c r="AS7" s="64">
        <f ca="1">AR7+1</f>
        <v>44375</v>
      </c>
      <c r="AT7" s="64">
        <f t="shared" ca="1" si="0"/>
        <v>44376</v>
      </c>
      <c r="AU7" s="64">
        <f t="shared" ca="1" si="0"/>
        <v>44377</v>
      </c>
      <c r="AV7" s="64">
        <f t="shared" ca="1" si="0"/>
        <v>44378</v>
      </c>
      <c r="AW7" s="64">
        <f t="shared" ca="1" si="0"/>
        <v>44379</v>
      </c>
      <c r="AX7" s="65">
        <f t="shared" ca="1" si="0"/>
        <v>44380</v>
      </c>
      <c r="AY7" s="64">
        <f t="shared" ref="AY7:CD7" ca="1" si="1">AX7+1</f>
        <v>44381</v>
      </c>
      <c r="AZ7" s="64">
        <f t="shared" ca="1" si="1"/>
        <v>44382</v>
      </c>
      <c r="BA7" s="64">
        <f t="shared" ca="1" si="1"/>
        <v>44383</v>
      </c>
      <c r="BB7" s="64">
        <f t="shared" ca="1" si="1"/>
        <v>44384</v>
      </c>
      <c r="BC7" s="64">
        <f t="shared" ca="1" si="1"/>
        <v>44385</v>
      </c>
      <c r="BD7" s="64">
        <f t="shared" ca="1" si="1"/>
        <v>44386</v>
      </c>
      <c r="BE7" s="65">
        <f t="shared" ca="1" si="1"/>
        <v>44387</v>
      </c>
      <c r="BF7" s="64">
        <f t="shared" ca="1" si="1"/>
        <v>44388</v>
      </c>
      <c r="BG7" s="64">
        <f t="shared" ca="1" si="1"/>
        <v>44389</v>
      </c>
      <c r="BH7" s="64">
        <f t="shared" ca="1" si="1"/>
        <v>44390</v>
      </c>
      <c r="BI7" s="64">
        <f t="shared" ca="1" si="1"/>
        <v>44391</v>
      </c>
      <c r="BJ7" s="64">
        <f t="shared" ca="1" si="1"/>
        <v>44392</v>
      </c>
      <c r="BK7" s="64">
        <f t="shared" ca="1" si="1"/>
        <v>44393</v>
      </c>
      <c r="BL7" s="65">
        <f t="shared" ca="1" si="1"/>
        <v>44394</v>
      </c>
      <c r="BM7" s="65">
        <f t="shared" ca="1" si="1"/>
        <v>44395</v>
      </c>
      <c r="BN7" s="65">
        <f t="shared" ca="1" si="1"/>
        <v>44396</v>
      </c>
      <c r="BO7" s="65">
        <f t="shared" ca="1" si="1"/>
        <v>44397</v>
      </c>
      <c r="BP7" s="65">
        <f t="shared" ca="1" si="1"/>
        <v>44398</v>
      </c>
      <c r="BQ7" s="65">
        <f t="shared" ca="1" si="1"/>
        <v>44399</v>
      </c>
      <c r="BR7" s="65">
        <f t="shared" ca="1" si="1"/>
        <v>44400</v>
      </c>
      <c r="BS7" s="65">
        <f t="shared" ca="1" si="1"/>
        <v>44401</v>
      </c>
      <c r="BT7" s="65">
        <f t="shared" ca="1" si="1"/>
        <v>44402</v>
      </c>
      <c r="BU7" s="65">
        <f t="shared" ca="1" si="1"/>
        <v>44403</v>
      </c>
      <c r="BV7" s="65">
        <f t="shared" ca="1" si="1"/>
        <v>44404</v>
      </c>
      <c r="BW7" s="65">
        <f t="shared" ca="1" si="1"/>
        <v>44405</v>
      </c>
      <c r="BX7" s="65">
        <f t="shared" ca="1" si="1"/>
        <v>44406</v>
      </c>
      <c r="BY7" s="65">
        <f t="shared" ca="1" si="1"/>
        <v>44407</v>
      </c>
      <c r="BZ7" s="65">
        <f t="shared" ca="1" si="1"/>
        <v>44408</v>
      </c>
      <c r="CA7" s="65">
        <f t="shared" ca="1" si="1"/>
        <v>44409</v>
      </c>
      <c r="CB7" s="65">
        <f t="shared" ca="1" si="1"/>
        <v>44410</v>
      </c>
      <c r="CC7" s="65">
        <f t="shared" ca="1" si="1"/>
        <v>44411</v>
      </c>
      <c r="CD7" s="65">
        <f t="shared" ca="1" si="1"/>
        <v>44412</v>
      </c>
      <c r="CE7" s="65">
        <f t="shared" ref="CE7:DJ7" ca="1" si="2">CD7+1</f>
        <v>44413</v>
      </c>
      <c r="CF7" s="65">
        <f t="shared" ca="1" si="2"/>
        <v>44414</v>
      </c>
      <c r="CG7" s="65">
        <f t="shared" ca="1" si="2"/>
        <v>44415</v>
      </c>
      <c r="CH7" s="65">
        <f t="shared" ca="1" si="2"/>
        <v>44416</v>
      </c>
      <c r="CI7" s="65">
        <f t="shared" ca="1" si="2"/>
        <v>44417</v>
      </c>
      <c r="CJ7" s="65">
        <f t="shared" ca="1" si="2"/>
        <v>44418</v>
      </c>
      <c r="CK7" s="65">
        <f t="shared" ca="1" si="2"/>
        <v>44419</v>
      </c>
      <c r="CL7" s="65">
        <f t="shared" ca="1" si="2"/>
        <v>44420</v>
      </c>
      <c r="CM7" s="65">
        <f t="shared" ca="1" si="2"/>
        <v>44421</v>
      </c>
      <c r="CN7" s="65">
        <f t="shared" ca="1" si="2"/>
        <v>44422</v>
      </c>
      <c r="CO7" s="65">
        <f t="shared" ca="1" si="2"/>
        <v>44423</v>
      </c>
      <c r="CP7" s="65">
        <f t="shared" ca="1" si="2"/>
        <v>44424</v>
      </c>
      <c r="CQ7" s="65">
        <f t="shared" ca="1" si="2"/>
        <v>44425</v>
      </c>
      <c r="CR7" s="65">
        <f t="shared" ca="1" si="2"/>
        <v>44426</v>
      </c>
      <c r="CS7" s="65">
        <f t="shared" ca="1" si="2"/>
        <v>44427</v>
      </c>
      <c r="CT7" s="65">
        <f t="shared" ca="1" si="2"/>
        <v>44428</v>
      </c>
      <c r="CU7" s="65">
        <f t="shared" ca="1" si="2"/>
        <v>44429</v>
      </c>
      <c r="CV7" s="65">
        <f t="shared" ca="1" si="2"/>
        <v>44430</v>
      </c>
      <c r="CW7" s="65">
        <f t="shared" ca="1" si="2"/>
        <v>44431</v>
      </c>
      <c r="CX7" s="65">
        <f t="shared" ca="1" si="2"/>
        <v>44432</v>
      </c>
      <c r="CY7" s="65">
        <f t="shared" ca="1" si="2"/>
        <v>44433</v>
      </c>
      <c r="CZ7" s="65">
        <f t="shared" ca="1" si="2"/>
        <v>44434</v>
      </c>
      <c r="DA7" s="65">
        <f t="shared" ca="1" si="2"/>
        <v>44435</v>
      </c>
      <c r="DB7" s="65">
        <f t="shared" ca="1" si="2"/>
        <v>44436</v>
      </c>
      <c r="DC7" s="65">
        <f t="shared" ca="1" si="2"/>
        <v>44437</v>
      </c>
      <c r="DD7" s="65">
        <f t="shared" ca="1" si="2"/>
        <v>44438</v>
      </c>
      <c r="DE7" s="65">
        <f t="shared" ca="1" si="2"/>
        <v>44439</v>
      </c>
      <c r="DF7" s="65">
        <f t="shared" ca="1" si="2"/>
        <v>44440</v>
      </c>
      <c r="DG7" s="65">
        <f t="shared" ca="1" si="2"/>
        <v>44441</v>
      </c>
      <c r="DH7" s="65">
        <f t="shared" ca="1" si="2"/>
        <v>44442</v>
      </c>
      <c r="DI7" s="65">
        <f t="shared" ca="1" si="2"/>
        <v>44443</v>
      </c>
      <c r="DJ7" s="65">
        <f t="shared" ca="1" si="2"/>
        <v>44444</v>
      </c>
      <c r="DK7" s="65">
        <f t="shared" ref="DK7:EJ7" ca="1" si="3">DJ7+1</f>
        <v>44445</v>
      </c>
      <c r="DL7" s="65">
        <f t="shared" ca="1" si="3"/>
        <v>44446</v>
      </c>
      <c r="DM7" s="65">
        <f t="shared" ca="1" si="3"/>
        <v>44447</v>
      </c>
      <c r="DN7" s="65">
        <f t="shared" ca="1" si="3"/>
        <v>44448</v>
      </c>
      <c r="DO7" s="65">
        <f t="shared" ca="1" si="3"/>
        <v>44449</v>
      </c>
      <c r="DP7" s="65">
        <f t="shared" ca="1" si="3"/>
        <v>44450</v>
      </c>
      <c r="DQ7" s="65">
        <f t="shared" ca="1" si="3"/>
        <v>44451</v>
      </c>
      <c r="DR7" s="65">
        <f t="shared" ca="1" si="3"/>
        <v>44452</v>
      </c>
      <c r="DS7" s="65">
        <f t="shared" ca="1" si="3"/>
        <v>44453</v>
      </c>
      <c r="DT7" s="65">
        <f t="shared" ca="1" si="3"/>
        <v>44454</v>
      </c>
      <c r="DU7" s="65">
        <f t="shared" ca="1" si="3"/>
        <v>44455</v>
      </c>
      <c r="DV7" s="65">
        <f t="shared" ca="1" si="3"/>
        <v>44456</v>
      </c>
      <c r="DW7" s="65">
        <f t="shared" ca="1" si="3"/>
        <v>44457</v>
      </c>
      <c r="DX7" s="65">
        <f t="shared" ca="1" si="3"/>
        <v>44458</v>
      </c>
      <c r="DY7" s="65">
        <f t="shared" ca="1" si="3"/>
        <v>44459</v>
      </c>
      <c r="DZ7" s="65">
        <f t="shared" ca="1" si="3"/>
        <v>44460</v>
      </c>
      <c r="EA7" s="65">
        <f t="shared" ca="1" si="3"/>
        <v>44461</v>
      </c>
      <c r="EB7" s="65">
        <f t="shared" ca="1" si="3"/>
        <v>44462</v>
      </c>
      <c r="EC7" s="65">
        <f t="shared" ca="1" si="3"/>
        <v>44463</v>
      </c>
      <c r="ED7" s="65">
        <f t="shared" ca="1" si="3"/>
        <v>44464</v>
      </c>
      <c r="EE7" s="65">
        <f t="shared" ca="1" si="3"/>
        <v>44465</v>
      </c>
      <c r="EF7" s="65">
        <f t="shared" ca="1" si="3"/>
        <v>44466</v>
      </c>
      <c r="EG7" s="65">
        <f t="shared" ca="1" si="3"/>
        <v>44467</v>
      </c>
      <c r="EH7" s="65">
        <f t="shared" ca="1" si="3"/>
        <v>44468</v>
      </c>
      <c r="EI7" s="65">
        <f t="shared" ca="1" si="3"/>
        <v>44469</v>
      </c>
      <c r="EJ7" s="65">
        <f t="shared" ca="1" si="3"/>
        <v>44470</v>
      </c>
    </row>
    <row r="8" spans="1:141" ht="19.899999999999999" customHeight="1" x14ac:dyDescent="0.25">
      <c r="A8" s="5"/>
      <c r="B8" s="43"/>
      <c r="C8" s="43"/>
      <c r="D8" s="43"/>
      <c r="E8" s="32"/>
      <c r="F8" s="32"/>
      <c r="G8" s="32"/>
      <c r="H8" s="42"/>
      <c r="I8" s="66"/>
      <c r="J8" s="67"/>
      <c r="K8" s="67"/>
      <c r="L8" s="67"/>
      <c r="M8" s="67"/>
      <c r="N8" s="67"/>
      <c r="O8" s="67"/>
      <c r="P8" s="68"/>
      <c r="Q8" s="67"/>
      <c r="R8" s="67"/>
      <c r="S8" s="67"/>
      <c r="T8" s="67"/>
      <c r="U8" s="67"/>
      <c r="V8" s="69"/>
      <c r="W8" s="67"/>
      <c r="X8" s="67"/>
      <c r="Y8" s="67"/>
      <c r="Z8" s="67"/>
      <c r="AA8" s="67"/>
      <c r="AB8" s="67"/>
      <c r="AC8" s="69"/>
      <c r="AD8" s="67"/>
      <c r="AE8" s="67"/>
      <c r="AF8" s="67"/>
      <c r="AG8" s="67"/>
      <c r="AH8" s="67"/>
      <c r="AI8" s="67"/>
      <c r="AJ8" s="69"/>
      <c r="AK8" s="67"/>
      <c r="AL8" s="67"/>
      <c r="AM8" s="67"/>
      <c r="AN8" s="67"/>
      <c r="AO8" s="67"/>
      <c r="AP8" s="67"/>
      <c r="AQ8" s="69"/>
      <c r="AR8" s="67"/>
      <c r="AS8" s="67"/>
      <c r="AT8" s="67"/>
      <c r="AU8" s="67"/>
      <c r="AV8" s="67"/>
      <c r="AW8" s="67"/>
      <c r="AX8" s="69"/>
      <c r="AY8" s="67"/>
      <c r="AZ8" s="67"/>
      <c r="BA8" s="67"/>
      <c r="BB8" s="67"/>
      <c r="BC8" s="67"/>
      <c r="BD8" s="67"/>
      <c r="BE8" s="69"/>
      <c r="BF8" s="67"/>
      <c r="BG8" s="67"/>
      <c r="BH8" s="67"/>
      <c r="BI8" s="67"/>
      <c r="BJ8" s="67"/>
      <c r="BK8" s="67"/>
      <c r="BL8" s="70"/>
      <c r="BM8" s="70"/>
      <c r="BN8" s="70"/>
      <c r="BO8" s="70"/>
      <c r="BP8" s="70"/>
      <c r="BQ8" s="70"/>
      <c r="BR8" s="70"/>
      <c r="BS8" s="70"/>
      <c r="BT8" s="70"/>
      <c r="BU8" s="70"/>
      <c r="BV8" s="70"/>
      <c r="BW8" s="70"/>
      <c r="BX8" s="70"/>
      <c r="BY8" s="70"/>
      <c r="BZ8" s="70"/>
      <c r="CA8" s="70"/>
      <c r="CB8" s="70"/>
      <c r="CC8" s="70"/>
      <c r="CD8" s="70"/>
      <c r="CE8" s="70"/>
      <c r="CF8" s="70"/>
      <c r="CG8" s="70"/>
      <c r="CH8" s="70"/>
      <c r="CI8" s="70"/>
      <c r="CJ8" s="70"/>
      <c r="CK8" s="70"/>
      <c r="CL8" s="70"/>
      <c r="CM8" s="70"/>
      <c r="CN8" s="70"/>
      <c r="CO8" s="70"/>
      <c r="CP8" s="70"/>
      <c r="CQ8" s="70"/>
      <c r="CR8" s="70"/>
      <c r="CS8" s="70"/>
      <c r="CT8" s="70"/>
      <c r="CU8" s="70"/>
      <c r="CV8" s="70"/>
      <c r="CW8" s="70"/>
      <c r="CX8" s="70"/>
      <c r="CY8" s="70"/>
      <c r="CZ8" s="70"/>
      <c r="DA8" s="70"/>
      <c r="DB8" s="70"/>
      <c r="DC8" s="70"/>
      <c r="DD8" s="70"/>
      <c r="DE8" s="70"/>
      <c r="DF8" s="70"/>
      <c r="DG8" s="70"/>
      <c r="DH8" s="70"/>
      <c r="DI8" s="70"/>
      <c r="DJ8" s="70"/>
      <c r="DK8" s="70"/>
      <c r="DL8" s="70"/>
      <c r="DM8" s="70"/>
      <c r="DN8" s="70"/>
      <c r="DO8" s="70"/>
      <c r="DP8" s="70"/>
      <c r="DQ8" s="70"/>
      <c r="DR8" s="70"/>
      <c r="DS8" s="70"/>
      <c r="DT8" s="70"/>
      <c r="DU8" s="70"/>
      <c r="DV8" s="70"/>
      <c r="DW8" s="70"/>
      <c r="DX8" s="70"/>
      <c r="DY8" s="70"/>
      <c r="DZ8" s="70"/>
      <c r="EA8" s="70"/>
      <c r="EB8" s="70"/>
      <c r="EC8" s="70"/>
      <c r="ED8" s="70"/>
      <c r="EE8" s="70"/>
      <c r="EF8" s="70"/>
      <c r="EG8" s="70"/>
      <c r="EH8" s="70"/>
      <c r="EI8" s="70"/>
      <c r="EJ8" s="70"/>
    </row>
    <row r="9" spans="1:141" ht="40.15" customHeight="1" x14ac:dyDescent="0.25">
      <c r="A9" s="5"/>
      <c r="B9" s="61" t="s">
        <v>3</v>
      </c>
      <c r="C9" s="62" t="s">
        <v>5</v>
      </c>
      <c r="D9" s="62" t="s">
        <v>21</v>
      </c>
      <c r="E9" s="62" t="s">
        <v>11</v>
      </c>
      <c r="F9" s="62" t="s">
        <v>12</v>
      </c>
      <c r="G9" s="62" t="s">
        <v>14</v>
      </c>
      <c r="H9" s="44"/>
      <c r="I9" s="45" t="str">
        <f t="shared" ref="I9:AN9" ca="1" si="4">LEFT(TEXT(I7,"aaa"),1)</f>
        <v>日</v>
      </c>
      <c r="J9" s="45" t="str">
        <f t="shared" ca="1" si="4"/>
        <v>月</v>
      </c>
      <c r="K9" s="45" t="str">
        <f t="shared" ca="1" si="4"/>
        <v>火</v>
      </c>
      <c r="L9" s="45" t="str">
        <f t="shared" ca="1" si="4"/>
        <v>水</v>
      </c>
      <c r="M9" s="45" t="str">
        <f t="shared" ca="1" si="4"/>
        <v>木</v>
      </c>
      <c r="N9" s="45" t="str">
        <f t="shared" ca="1" si="4"/>
        <v>金</v>
      </c>
      <c r="O9" s="45" t="str">
        <f t="shared" ca="1" si="4"/>
        <v>土</v>
      </c>
      <c r="P9" s="45" t="str">
        <f t="shared" ca="1" si="4"/>
        <v>日</v>
      </c>
      <c r="Q9" s="45" t="str">
        <f t="shared" ca="1" si="4"/>
        <v>月</v>
      </c>
      <c r="R9" s="45" t="str">
        <f t="shared" ca="1" si="4"/>
        <v>火</v>
      </c>
      <c r="S9" s="45" t="str">
        <f t="shared" ca="1" si="4"/>
        <v>水</v>
      </c>
      <c r="T9" s="45" t="str">
        <f t="shared" ca="1" si="4"/>
        <v>木</v>
      </c>
      <c r="U9" s="45" t="str">
        <f t="shared" ca="1" si="4"/>
        <v>金</v>
      </c>
      <c r="V9" s="45" t="str">
        <f t="shared" ca="1" si="4"/>
        <v>土</v>
      </c>
      <c r="W9" s="45" t="str">
        <f t="shared" ca="1" si="4"/>
        <v>日</v>
      </c>
      <c r="X9" s="45" t="str">
        <f t="shared" ca="1" si="4"/>
        <v>月</v>
      </c>
      <c r="Y9" s="45" t="str">
        <f t="shared" ca="1" si="4"/>
        <v>火</v>
      </c>
      <c r="Z9" s="45" t="str">
        <f t="shared" ca="1" si="4"/>
        <v>水</v>
      </c>
      <c r="AA9" s="45" t="str">
        <f t="shared" ca="1" si="4"/>
        <v>木</v>
      </c>
      <c r="AB9" s="45" t="str">
        <f t="shared" ca="1" si="4"/>
        <v>金</v>
      </c>
      <c r="AC9" s="45" t="str">
        <f t="shared" ca="1" si="4"/>
        <v>土</v>
      </c>
      <c r="AD9" s="45" t="str">
        <f t="shared" ca="1" si="4"/>
        <v>日</v>
      </c>
      <c r="AE9" s="45" t="str">
        <f t="shared" ca="1" si="4"/>
        <v>月</v>
      </c>
      <c r="AF9" s="45" t="str">
        <f t="shared" ca="1" si="4"/>
        <v>火</v>
      </c>
      <c r="AG9" s="45" t="str">
        <f t="shared" ca="1" si="4"/>
        <v>水</v>
      </c>
      <c r="AH9" s="45" t="str">
        <f t="shared" ca="1" si="4"/>
        <v>木</v>
      </c>
      <c r="AI9" s="45" t="str">
        <f t="shared" ca="1" si="4"/>
        <v>金</v>
      </c>
      <c r="AJ9" s="45" t="str">
        <f t="shared" ca="1" si="4"/>
        <v>土</v>
      </c>
      <c r="AK9" s="45" t="str">
        <f t="shared" ca="1" si="4"/>
        <v>日</v>
      </c>
      <c r="AL9" s="45" t="str">
        <f t="shared" ca="1" si="4"/>
        <v>月</v>
      </c>
      <c r="AM9" s="45" t="str">
        <f t="shared" ca="1" si="4"/>
        <v>火</v>
      </c>
      <c r="AN9" s="45" t="str">
        <f t="shared" ca="1" si="4"/>
        <v>水</v>
      </c>
      <c r="AO9" s="45" t="str">
        <f t="shared" ref="AO9:BL9" ca="1" si="5">LEFT(TEXT(AO7,"aaa"),1)</f>
        <v>木</v>
      </c>
      <c r="AP9" s="45" t="str">
        <f t="shared" ca="1" si="5"/>
        <v>金</v>
      </c>
      <c r="AQ9" s="45" t="str">
        <f t="shared" ca="1" si="5"/>
        <v>土</v>
      </c>
      <c r="AR9" s="45" t="str">
        <f t="shared" ca="1" si="5"/>
        <v>日</v>
      </c>
      <c r="AS9" s="45" t="str">
        <f t="shared" ca="1" si="5"/>
        <v>月</v>
      </c>
      <c r="AT9" s="45" t="str">
        <f t="shared" ca="1" si="5"/>
        <v>火</v>
      </c>
      <c r="AU9" s="45" t="str">
        <f t="shared" ca="1" si="5"/>
        <v>水</v>
      </c>
      <c r="AV9" s="45" t="str">
        <f t="shared" ca="1" si="5"/>
        <v>木</v>
      </c>
      <c r="AW9" s="45" t="str">
        <f t="shared" ca="1" si="5"/>
        <v>金</v>
      </c>
      <c r="AX9" s="45" t="str">
        <f t="shared" ca="1" si="5"/>
        <v>土</v>
      </c>
      <c r="AY9" s="45" t="str">
        <f t="shared" ca="1" si="5"/>
        <v>日</v>
      </c>
      <c r="AZ9" s="45" t="str">
        <f t="shared" ca="1" si="5"/>
        <v>月</v>
      </c>
      <c r="BA9" s="45" t="str">
        <f t="shared" ca="1" si="5"/>
        <v>火</v>
      </c>
      <c r="BB9" s="45" t="str">
        <f t="shared" ca="1" si="5"/>
        <v>水</v>
      </c>
      <c r="BC9" s="45" t="str">
        <f t="shared" ca="1" si="5"/>
        <v>木</v>
      </c>
      <c r="BD9" s="45" t="str">
        <f t="shared" ca="1" si="5"/>
        <v>金</v>
      </c>
      <c r="BE9" s="45" t="str">
        <f t="shared" ca="1" si="5"/>
        <v>土</v>
      </c>
      <c r="BF9" s="45" t="str">
        <f t="shared" ca="1" si="5"/>
        <v>日</v>
      </c>
      <c r="BG9" s="45" t="str">
        <f t="shared" ca="1" si="5"/>
        <v>月</v>
      </c>
      <c r="BH9" s="45" t="str">
        <f t="shared" ca="1" si="5"/>
        <v>火</v>
      </c>
      <c r="BI9" s="45" t="str">
        <f t="shared" ca="1" si="5"/>
        <v>水</v>
      </c>
      <c r="BJ9" s="45" t="str">
        <f t="shared" ca="1" si="5"/>
        <v>木</v>
      </c>
      <c r="BK9" s="45" t="str">
        <f t="shared" ca="1" si="5"/>
        <v>金</v>
      </c>
      <c r="BL9" s="45" t="str">
        <f t="shared" ca="1" si="5"/>
        <v>土</v>
      </c>
      <c r="BM9" s="45" t="str">
        <f t="shared" ref="BM9:BR9" ca="1" si="6">LEFT(TEXT(BM7,"aaa"),1)</f>
        <v>日</v>
      </c>
      <c r="BN9" s="45" t="str">
        <f t="shared" ca="1" si="6"/>
        <v>月</v>
      </c>
      <c r="BO9" s="45" t="str">
        <f t="shared" ca="1" si="6"/>
        <v>火</v>
      </c>
      <c r="BP9" s="45" t="str">
        <f t="shared" ca="1" si="6"/>
        <v>水</v>
      </c>
      <c r="BQ9" s="45" t="str">
        <f t="shared" ca="1" si="6"/>
        <v>木</v>
      </c>
      <c r="BR9" s="45" t="str">
        <f t="shared" ca="1" si="6"/>
        <v>金</v>
      </c>
      <c r="BS9" s="45" t="str">
        <f t="shared" ref="BS9:CL9" ca="1" si="7">LEFT(TEXT(BS7,"aaa"),1)</f>
        <v>土</v>
      </c>
      <c r="BT9" s="45" t="str">
        <f t="shared" ca="1" si="7"/>
        <v>日</v>
      </c>
      <c r="BU9" s="45" t="str">
        <f t="shared" ca="1" si="7"/>
        <v>月</v>
      </c>
      <c r="BV9" s="45" t="str">
        <f t="shared" ca="1" si="7"/>
        <v>火</v>
      </c>
      <c r="BW9" s="45" t="str">
        <f t="shared" ca="1" si="7"/>
        <v>水</v>
      </c>
      <c r="BX9" s="45" t="str">
        <f t="shared" ca="1" si="7"/>
        <v>木</v>
      </c>
      <c r="BY9" s="45" t="str">
        <f t="shared" ca="1" si="7"/>
        <v>金</v>
      </c>
      <c r="BZ9" s="45" t="str">
        <f t="shared" ca="1" si="7"/>
        <v>土</v>
      </c>
      <c r="CA9" s="45" t="str">
        <f t="shared" ca="1" si="7"/>
        <v>日</v>
      </c>
      <c r="CB9" s="45" t="str">
        <f t="shared" ca="1" si="7"/>
        <v>月</v>
      </c>
      <c r="CC9" s="45" t="str">
        <f t="shared" ca="1" si="7"/>
        <v>火</v>
      </c>
      <c r="CD9" s="45" t="str">
        <f t="shared" ca="1" si="7"/>
        <v>水</v>
      </c>
      <c r="CE9" s="45" t="str">
        <f t="shared" ca="1" si="7"/>
        <v>木</v>
      </c>
      <c r="CF9" s="45" t="str">
        <f t="shared" ca="1" si="7"/>
        <v>金</v>
      </c>
      <c r="CG9" s="45" t="str">
        <f t="shared" ca="1" si="7"/>
        <v>土</v>
      </c>
      <c r="CH9" s="45" t="str">
        <f t="shared" ca="1" si="7"/>
        <v>日</v>
      </c>
      <c r="CI9" s="45" t="str">
        <f t="shared" ca="1" si="7"/>
        <v>月</v>
      </c>
      <c r="CJ9" s="45" t="str">
        <f t="shared" ca="1" si="7"/>
        <v>火</v>
      </c>
      <c r="CK9" s="45" t="str">
        <f t="shared" ca="1" si="7"/>
        <v>水</v>
      </c>
      <c r="CL9" s="45" t="str">
        <f t="shared" ca="1" si="7"/>
        <v>木</v>
      </c>
      <c r="CM9" s="45" t="str">
        <f t="shared" ref="CM9:EJ9" ca="1" si="8">LEFT(TEXT(CM7,"aaa"),1)</f>
        <v>金</v>
      </c>
      <c r="CN9" s="45" t="str">
        <f t="shared" ca="1" si="8"/>
        <v>土</v>
      </c>
      <c r="CO9" s="45" t="str">
        <f t="shared" ca="1" si="8"/>
        <v>日</v>
      </c>
      <c r="CP9" s="45" t="str">
        <f t="shared" ca="1" si="8"/>
        <v>月</v>
      </c>
      <c r="CQ9" s="45" t="str">
        <f t="shared" ca="1" si="8"/>
        <v>火</v>
      </c>
      <c r="CR9" s="45" t="str">
        <f t="shared" ca="1" si="8"/>
        <v>水</v>
      </c>
      <c r="CS9" s="45" t="str">
        <f t="shared" ca="1" si="8"/>
        <v>木</v>
      </c>
      <c r="CT9" s="45" t="str">
        <f t="shared" ca="1" si="8"/>
        <v>金</v>
      </c>
      <c r="CU9" s="45" t="str">
        <f t="shared" ca="1" si="8"/>
        <v>土</v>
      </c>
      <c r="CV9" s="45" t="str">
        <f t="shared" ca="1" si="8"/>
        <v>日</v>
      </c>
      <c r="CW9" s="45" t="str">
        <f t="shared" ca="1" si="8"/>
        <v>月</v>
      </c>
      <c r="CX9" s="45" t="str">
        <f t="shared" ca="1" si="8"/>
        <v>火</v>
      </c>
      <c r="CY9" s="45" t="str">
        <f t="shared" ca="1" si="8"/>
        <v>水</v>
      </c>
      <c r="CZ9" s="45" t="str">
        <f t="shared" ca="1" si="8"/>
        <v>木</v>
      </c>
      <c r="DA9" s="45" t="str">
        <f t="shared" ca="1" si="8"/>
        <v>金</v>
      </c>
      <c r="DB9" s="45" t="str">
        <f t="shared" ca="1" si="8"/>
        <v>土</v>
      </c>
      <c r="DC9" s="45" t="str">
        <f t="shared" ca="1" si="8"/>
        <v>日</v>
      </c>
      <c r="DD9" s="45" t="str">
        <f t="shared" ca="1" si="8"/>
        <v>月</v>
      </c>
      <c r="DE9" s="45" t="str">
        <f t="shared" ca="1" si="8"/>
        <v>火</v>
      </c>
      <c r="DF9" s="45" t="str">
        <f t="shared" ca="1" si="8"/>
        <v>水</v>
      </c>
      <c r="DG9" s="45" t="str">
        <f t="shared" ca="1" si="8"/>
        <v>木</v>
      </c>
      <c r="DH9" s="45" t="str">
        <f t="shared" ca="1" si="8"/>
        <v>金</v>
      </c>
      <c r="DI9" s="45" t="str">
        <f t="shared" ca="1" si="8"/>
        <v>土</v>
      </c>
      <c r="DJ9" s="45" t="str">
        <f t="shared" ca="1" si="8"/>
        <v>日</v>
      </c>
      <c r="DK9" s="45" t="str">
        <f t="shared" ca="1" si="8"/>
        <v>月</v>
      </c>
      <c r="DL9" s="45" t="str">
        <f t="shared" ca="1" si="8"/>
        <v>火</v>
      </c>
      <c r="DM9" s="45" t="str">
        <f t="shared" ca="1" si="8"/>
        <v>水</v>
      </c>
      <c r="DN9" s="45" t="str">
        <f t="shared" ca="1" si="8"/>
        <v>木</v>
      </c>
      <c r="DO9" s="45" t="str">
        <f t="shared" ca="1" si="8"/>
        <v>金</v>
      </c>
      <c r="DP9" s="45" t="str">
        <f t="shared" ca="1" si="8"/>
        <v>土</v>
      </c>
      <c r="DQ9" s="45" t="str">
        <f t="shared" ca="1" si="8"/>
        <v>日</v>
      </c>
      <c r="DR9" s="45" t="str">
        <f t="shared" ca="1" si="8"/>
        <v>月</v>
      </c>
      <c r="DS9" s="45" t="str">
        <f t="shared" ca="1" si="8"/>
        <v>火</v>
      </c>
      <c r="DT9" s="45" t="str">
        <f t="shared" ca="1" si="8"/>
        <v>水</v>
      </c>
      <c r="DU9" s="45" t="str">
        <f t="shared" ca="1" si="8"/>
        <v>木</v>
      </c>
      <c r="DV9" s="45" t="str">
        <f t="shared" ca="1" si="8"/>
        <v>金</v>
      </c>
      <c r="DW9" s="45" t="str">
        <f t="shared" ca="1" si="8"/>
        <v>土</v>
      </c>
      <c r="DX9" s="45" t="str">
        <f t="shared" ca="1" si="8"/>
        <v>日</v>
      </c>
      <c r="DY9" s="45" t="str">
        <f t="shared" ca="1" si="8"/>
        <v>月</v>
      </c>
      <c r="DZ9" s="45" t="str">
        <f t="shared" ca="1" si="8"/>
        <v>火</v>
      </c>
      <c r="EA9" s="45" t="str">
        <f t="shared" ca="1" si="8"/>
        <v>水</v>
      </c>
      <c r="EB9" s="45" t="str">
        <f t="shared" ca="1" si="8"/>
        <v>木</v>
      </c>
      <c r="EC9" s="45" t="str">
        <f t="shared" ca="1" si="8"/>
        <v>金</v>
      </c>
      <c r="ED9" s="45" t="str">
        <f t="shared" ca="1" si="8"/>
        <v>土</v>
      </c>
      <c r="EE9" s="45" t="str">
        <f t="shared" ca="1" si="8"/>
        <v>日</v>
      </c>
      <c r="EF9" s="45" t="str">
        <f t="shared" ca="1" si="8"/>
        <v>月</v>
      </c>
      <c r="EG9" s="45" t="str">
        <f t="shared" ca="1" si="8"/>
        <v>火</v>
      </c>
      <c r="EH9" s="45" t="str">
        <f t="shared" ca="1" si="8"/>
        <v>水</v>
      </c>
      <c r="EI9" s="45" t="str">
        <f t="shared" ca="1" si="8"/>
        <v>木</v>
      </c>
      <c r="EJ9" s="45" t="str">
        <f t="shared" ca="1" si="8"/>
        <v>金</v>
      </c>
    </row>
    <row r="10" spans="1:141" ht="30" hidden="1" customHeight="1" thickBot="1" x14ac:dyDescent="0.3">
      <c r="B10" s="12"/>
      <c r="C10" s="8"/>
      <c r="D10" s="7"/>
      <c r="E10" s="9"/>
      <c r="F10" s="10"/>
      <c r="G10" s="11"/>
      <c r="H10" s="17"/>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c r="DE10" s="14"/>
      <c r="DF10" s="14"/>
      <c r="DG10" s="14"/>
      <c r="DH10" s="14"/>
      <c r="DI10" s="14"/>
      <c r="DJ10" s="14"/>
      <c r="DK10" s="14"/>
      <c r="DL10" s="14"/>
      <c r="DM10" s="14"/>
      <c r="DN10" s="14"/>
      <c r="DO10" s="14"/>
      <c r="DP10" s="14"/>
      <c r="DQ10" s="14"/>
      <c r="DR10" s="14"/>
      <c r="DS10" s="14"/>
      <c r="DT10" s="14"/>
      <c r="DU10" s="14"/>
      <c r="DV10" s="14"/>
      <c r="DW10" s="14"/>
      <c r="DX10" s="14"/>
      <c r="DY10" s="14"/>
      <c r="DZ10" s="14"/>
      <c r="EA10" s="14"/>
      <c r="EB10" s="14"/>
      <c r="EC10" s="14"/>
      <c r="ED10" s="14"/>
      <c r="EE10" s="14"/>
      <c r="EF10" s="14"/>
      <c r="EG10" s="14"/>
      <c r="EH10" s="14"/>
      <c r="EI10" s="14"/>
      <c r="EJ10" s="14"/>
    </row>
    <row r="11" spans="1:141" s="1" customFormat="1" ht="40.15" customHeight="1" x14ac:dyDescent="0.25">
      <c r="A11" s="5"/>
      <c r="B11" s="46" t="s">
        <v>18</v>
      </c>
      <c r="C11" s="47"/>
      <c r="D11" s="47"/>
      <c r="E11" s="48"/>
      <c r="F11" s="49"/>
      <c r="G11" s="50"/>
      <c r="H11" s="51"/>
      <c r="I11" s="13" t="str">
        <f t="shared" ref="I11:X19" ca="1" si="9">IF(AND($C11="目標",I$7&gt;=$F11,I$7&lt;=$F11+$G11-1),2,IF(AND($C11="マイルストーン",I$7&gt;=$F11,I$7&lt;=$F11+$G11-1),1,""))</f>
        <v/>
      </c>
      <c r="J11" s="13" t="str">
        <f t="shared" ca="1" si="9"/>
        <v/>
      </c>
      <c r="K11" s="13" t="str">
        <f t="shared" ca="1" si="9"/>
        <v/>
      </c>
      <c r="L11" s="13" t="str">
        <f t="shared" ca="1" si="9"/>
        <v/>
      </c>
      <c r="M11" s="13" t="str">
        <f t="shared" ca="1" si="9"/>
        <v/>
      </c>
      <c r="N11" s="13" t="str">
        <f t="shared" ca="1" si="9"/>
        <v/>
      </c>
      <c r="O11" s="13" t="str">
        <f t="shared" ca="1" si="9"/>
        <v/>
      </c>
      <c r="P11" s="13" t="str">
        <f t="shared" ca="1" si="9"/>
        <v/>
      </c>
      <c r="Q11" s="13" t="str">
        <f t="shared" ca="1" si="9"/>
        <v/>
      </c>
      <c r="R11" s="13" t="str">
        <f t="shared" ca="1" si="9"/>
        <v/>
      </c>
      <c r="S11" s="13" t="str">
        <f t="shared" ca="1" si="9"/>
        <v/>
      </c>
      <c r="T11" s="13" t="str">
        <f t="shared" ca="1" si="9"/>
        <v/>
      </c>
      <c r="U11" s="13" t="str">
        <f t="shared" ca="1" si="9"/>
        <v/>
      </c>
      <c r="V11" s="13" t="str">
        <f t="shared" ca="1" si="9"/>
        <v/>
      </c>
      <c r="W11" s="13" t="str">
        <f t="shared" ca="1" si="9"/>
        <v/>
      </c>
      <c r="X11" s="13" t="str">
        <f t="shared" ca="1" si="9"/>
        <v/>
      </c>
      <c r="Y11" s="13" t="str">
        <f t="shared" ref="Y11:AN19" ca="1" si="10">IF(AND($C11="目標",Y$7&gt;=$F11,Y$7&lt;=$F11+$G11-1),2,IF(AND($C11="マイルストーン",Y$7&gt;=$F11,Y$7&lt;=$F11+$G11-1),1,""))</f>
        <v/>
      </c>
      <c r="Z11" s="13" t="str">
        <f t="shared" ca="1" si="10"/>
        <v/>
      </c>
      <c r="AA11" s="13" t="str">
        <f t="shared" ca="1" si="10"/>
        <v/>
      </c>
      <c r="AB11" s="13" t="str">
        <f t="shared" ca="1" si="10"/>
        <v/>
      </c>
      <c r="AC11" s="13" t="str">
        <f t="shared" ca="1" si="10"/>
        <v/>
      </c>
      <c r="AD11" s="13" t="str">
        <f t="shared" ca="1" si="10"/>
        <v/>
      </c>
      <c r="AE11" s="13" t="str">
        <f t="shared" ca="1" si="10"/>
        <v/>
      </c>
      <c r="AF11" s="13" t="str">
        <f t="shared" ca="1" si="10"/>
        <v/>
      </c>
      <c r="AG11" s="13" t="str">
        <f t="shared" ca="1" si="10"/>
        <v/>
      </c>
      <c r="AH11" s="13" t="str">
        <f t="shared" ca="1" si="10"/>
        <v/>
      </c>
      <c r="AI11" s="13" t="str">
        <f t="shared" ca="1" si="10"/>
        <v/>
      </c>
      <c r="AJ11" s="13" t="str">
        <f t="shared" ca="1" si="10"/>
        <v/>
      </c>
      <c r="AK11" s="13" t="str">
        <f t="shared" ca="1" si="10"/>
        <v/>
      </c>
      <c r="AL11" s="13" t="str">
        <f t="shared" ca="1" si="10"/>
        <v/>
      </c>
      <c r="AM11" s="13" t="str">
        <f t="shared" ca="1" si="10"/>
        <v/>
      </c>
      <c r="AN11" s="13" t="str">
        <f t="shared" ca="1" si="10"/>
        <v/>
      </c>
      <c r="AO11" s="13" t="str">
        <f t="shared" ref="AO11:BD19" ca="1" si="11">IF(AND($C11="目標",AO$7&gt;=$F11,AO$7&lt;=$F11+$G11-1),2,IF(AND($C11="マイルストーン",AO$7&gt;=$F11,AO$7&lt;=$F11+$G11-1),1,""))</f>
        <v/>
      </c>
      <c r="AP11" s="13" t="str">
        <f t="shared" ca="1" si="11"/>
        <v/>
      </c>
      <c r="AQ11" s="13" t="str">
        <f t="shared" ca="1" si="11"/>
        <v/>
      </c>
      <c r="AR11" s="13" t="str">
        <f t="shared" ca="1" si="11"/>
        <v/>
      </c>
      <c r="AS11" s="13" t="str">
        <f t="shared" ca="1" si="11"/>
        <v/>
      </c>
      <c r="AT11" s="13" t="str">
        <f t="shared" ca="1" si="11"/>
        <v/>
      </c>
      <c r="AU11" s="13" t="str">
        <f t="shared" ca="1" si="11"/>
        <v/>
      </c>
      <c r="AV11" s="13" t="str">
        <f t="shared" ca="1" si="11"/>
        <v/>
      </c>
      <c r="AW11" s="13" t="str">
        <f t="shared" ca="1" si="11"/>
        <v/>
      </c>
      <c r="AX11" s="13" t="str">
        <f t="shared" ca="1" si="11"/>
        <v/>
      </c>
      <c r="AY11" s="13" t="str">
        <f t="shared" ca="1" si="11"/>
        <v/>
      </c>
      <c r="AZ11" s="13" t="str">
        <f t="shared" ca="1" si="11"/>
        <v/>
      </c>
      <c r="BA11" s="13" t="str">
        <f t="shared" ca="1" si="11"/>
        <v/>
      </c>
      <c r="BB11" s="13" t="str">
        <f t="shared" ca="1" si="11"/>
        <v/>
      </c>
      <c r="BC11" s="13" t="str">
        <f t="shared" ca="1" si="11"/>
        <v/>
      </c>
      <c r="BD11" s="13" t="str">
        <f t="shared" ca="1" si="11"/>
        <v/>
      </c>
      <c r="BE11" s="13" t="str">
        <f t="shared" ref="BE11:BT19" ca="1" si="12">IF(AND($C11="目標",BE$7&gt;=$F11,BE$7&lt;=$F11+$G11-1),2,IF(AND($C11="マイルストーン",BE$7&gt;=$F11,BE$7&lt;=$F11+$G11-1),1,""))</f>
        <v/>
      </c>
      <c r="BF11" s="13" t="str">
        <f t="shared" ca="1" si="12"/>
        <v/>
      </c>
      <c r="BG11" s="13" t="str">
        <f t="shared" ca="1" si="12"/>
        <v/>
      </c>
      <c r="BH11" s="13" t="str">
        <f t="shared" ca="1" si="12"/>
        <v/>
      </c>
      <c r="BI11" s="13" t="str">
        <f t="shared" ca="1" si="12"/>
        <v/>
      </c>
      <c r="BJ11" s="13" t="str">
        <f t="shared" ca="1" si="12"/>
        <v/>
      </c>
      <c r="BK11" s="13" t="str">
        <f t="shared" ca="1" si="12"/>
        <v/>
      </c>
      <c r="BL11" s="13" t="str">
        <f t="shared" ca="1" si="12"/>
        <v/>
      </c>
      <c r="BM11" s="13" t="str">
        <f t="shared" ca="1" si="12"/>
        <v/>
      </c>
      <c r="BN11" s="13" t="str">
        <f t="shared" ca="1" si="12"/>
        <v/>
      </c>
      <c r="BO11" s="13" t="str">
        <f t="shared" ca="1" si="12"/>
        <v/>
      </c>
      <c r="BP11" s="13" t="str">
        <f t="shared" ca="1" si="12"/>
        <v/>
      </c>
      <c r="BQ11" s="13" t="str">
        <f t="shared" ca="1" si="12"/>
        <v/>
      </c>
      <c r="BR11" s="13" t="str">
        <f t="shared" ca="1" si="12"/>
        <v/>
      </c>
      <c r="BS11" s="13" t="str">
        <f t="shared" ca="1" si="12"/>
        <v/>
      </c>
      <c r="BT11" s="13" t="str">
        <f t="shared" ca="1" si="12"/>
        <v/>
      </c>
      <c r="BU11" s="13" t="str">
        <f t="shared" ref="BS11:CL23" ca="1" si="13">IF(AND($C11="目標",BU$7&gt;=$F11,BU$7&lt;=$F11+$G11-1),2,IF(AND($C11="マイルストーン",BU$7&gt;=$F11,BU$7&lt;=$F11+$G11-1),1,""))</f>
        <v/>
      </c>
      <c r="BV11" s="13" t="str">
        <f t="shared" ca="1" si="13"/>
        <v/>
      </c>
      <c r="BW11" s="13" t="str">
        <f t="shared" ca="1" si="13"/>
        <v/>
      </c>
      <c r="BX11" s="13" t="str">
        <f t="shared" ca="1" si="13"/>
        <v/>
      </c>
      <c r="BY11" s="13" t="str">
        <f t="shared" ca="1" si="13"/>
        <v/>
      </c>
      <c r="BZ11" s="13" t="str">
        <f t="shared" ca="1" si="13"/>
        <v/>
      </c>
      <c r="CA11" s="13" t="str">
        <f t="shared" ca="1" si="13"/>
        <v/>
      </c>
      <c r="CB11" s="13" t="str">
        <f t="shared" ca="1" si="13"/>
        <v/>
      </c>
      <c r="CC11" s="13" t="str">
        <f t="shared" ca="1" si="13"/>
        <v/>
      </c>
      <c r="CD11" s="13" t="str">
        <f t="shared" ca="1" si="13"/>
        <v/>
      </c>
      <c r="CE11" s="13" t="str">
        <f t="shared" ca="1" si="13"/>
        <v/>
      </c>
      <c r="CF11" s="13" t="str">
        <f t="shared" ca="1" si="13"/>
        <v/>
      </c>
      <c r="CG11" s="13" t="str">
        <f t="shared" ca="1" si="13"/>
        <v/>
      </c>
      <c r="CH11" s="13" t="str">
        <f t="shared" ca="1" si="13"/>
        <v/>
      </c>
      <c r="CI11" s="13" t="str">
        <f t="shared" ca="1" si="13"/>
        <v/>
      </c>
      <c r="CJ11" s="13" t="str">
        <f t="shared" ca="1" si="13"/>
        <v/>
      </c>
      <c r="CK11" s="13" t="str">
        <f t="shared" ca="1" si="13"/>
        <v/>
      </c>
      <c r="CL11" s="13" t="str">
        <f t="shared" ca="1" si="13"/>
        <v/>
      </c>
      <c r="CM11" s="13" t="str">
        <f t="shared" ref="CM11:EJ16" ca="1" si="14">IF(AND($C11="目標",CM$7&gt;=$F11,CM$7&lt;=$F11+$G11-1),2,IF(AND($C11="マイルストーン",CM$7&gt;=$F11,CM$7&lt;=$F11+$G11-1),1,""))</f>
        <v/>
      </c>
      <c r="CN11" s="13" t="str">
        <f t="shared" ca="1" si="14"/>
        <v/>
      </c>
      <c r="CO11" s="13" t="str">
        <f t="shared" ca="1" si="14"/>
        <v/>
      </c>
      <c r="CP11" s="13" t="str">
        <f t="shared" ca="1" si="14"/>
        <v/>
      </c>
      <c r="CQ11" s="13" t="str">
        <f t="shared" ca="1" si="14"/>
        <v/>
      </c>
      <c r="CR11" s="13" t="str">
        <f t="shared" ca="1" si="14"/>
        <v/>
      </c>
      <c r="CS11" s="13" t="str">
        <f t="shared" ca="1" si="14"/>
        <v/>
      </c>
      <c r="CT11" s="13" t="str">
        <f t="shared" ca="1" si="14"/>
        <v/>
      </c>
      <c r="CU11" s="13" t="str">
        <f t="shared" ca="1" si="14"/>
        <v/>
      </c>
      <c r="CV11" s="13" t="str">
        <f t="shared" ca="1" si="14"/>
        <v/>
      </c>
      <c r="CW11" s="13" t="str">
        <f t="shared" ca="1" si="14"/>
        <v/>
      </c>
      <c r="CX11" s="13" t="str">
        <f t="shared" ca="1" si="14"/>
        <v/>
      </c>
      <c r="CY11" s="13" t="str">
        <f t="shared" ca="1" si="14"/>
        <v/>
      </c>
      <c r="CZ11" s="13" t="str">
        <f t="shared" ca="1" si="14"/>
        <v/>
      </c>
      <c r="DA11" s="13" t="str">
        <f t="shared" ca="1" si="14"/>
        <v/>
      </c>
      <c r="DB11" s="13" t="str">
        <f t="shared" ca="1" si="14"/>
        <v/>
      </c>
      <c r="DC11" s="13" t="str">
        <f t="shared" ca="1" si="14"/>
        <v/>
      </c>
      <c r="DD11" s="13" t="str">
        <f t="shared" ca="1" si="14"/>
        <v/>
      </c>
      <c r="DE11" s="13" t="str">
        <f t="shared" ca="1" si="14"/>
        <v/>
      </c>
      <c r="DF11" s="13" t="str">
        <f t="shared" ca="1" si="14"/>
        <v/>
      </c>
      <c r="DG11" s="13" t="str">
        <f t="shared" ca="1" si="14"/>
        <v/>
      </c>
      <c r="DH11" s="13" t="str">
        <f t="shared" ca="1" si="14"/>
        <v/>
      </c>
      <c r="DI11" s="13" t="str">
        <f t="shared" ca="1" si="14"/>
        <v/>
      </c>
      <c r="DJ11" s="13" t="str">
        <f t="shared" ca="1" si="14"/>
        <v/>
      </c>
      <c r="DK11" s="13" t="str">
        <f t="shared" ca="1" si="14"/>
        <v/>
      </c>
      <c r="DL11" s="13" t="str">
        <f t="shared" ca="1" si="14"/>
        <v/>
      </c>
      <c r="DM11" s="13" t="str">
        <f t="shared" ca="1" si="14"/>
        <v/>
      </c>
      <c r="DN11" s="13" t="str">
        <f t="shared" ca="1" si="14"/>
        <v/>
      </c>
      <c r="DO11" s="13" t="str">
        <f t="shared" ca="1" si="14"/>
        <v/>
      </c>
      <c r="DP11" s="13" t="str">
        <f t="shared" ca="1" si="14"/>
        <v/>
      </c>
      <c r="DQ11" s="13" t="str">
        <f t="shared" ca="1" si="14"/>
        <v/>
      </c>
      <c r="DR11" s="13" t="str">
        <f t="shared" ca="1" si="14"/>
        <v/>
      </c>
      <c r="DS11" s="13" t="str">
        <f t="shared" ca="1" si="14"/>
        <v/>
      </c>
      <c r="DT11" s="13" t="str">
        <f t="shared" ca="1" si="14"/>
        <v/>
      </c>
      <c r="DU11" s="13" t="str">
        <f t="shared" ca="1" si="14"/>
        <v/>
      </c>
      <c r="DV11" s="13" t="str">
        <f t="shared" ca="1" si="14"/>
        <v/>
      </c>
      <c r="DW11" s="13" t="str">
        <f t="shared" ca="1" si="14"/>
        <v/>
      </c>
      <c r="DX11" s="13" t="str">
        <f t="shared" ca="1" si="14"/>
        <v/>
      </c>
      <c r="DY11" s="13" t="str">
        <f t="shared" ca="1" si="14"/>
        <v/>
      </c>
      <c r="DZ11" s="13" t="str">
        <f t="shared" ca="1" si="14"/>
        <v/>
      </c>
      <c r="EA11" s="13" t="str">
        <f t="shared" ca="1" si="14"/>
        <v/>
      </c>
      <c r="EB11" s="13" t="str">
        <f t="shared" ca="1" si="14"/>
        <v/>
      </c>
      <c r="EC11" s="13" t="str">
        <f t="shared" ca="1" si="14"/>
        <v/>
      </c>
      <c r="ED11" s="13" t="str">
        <f t="shared" ca="1" si="14"/>
        <v/>
      </c>
      <c r="EE11" s="13" t="str">
        <f t="shared" ca="1" si="14"/>
        <v/>
      </c>
      <c r="EF11" s="13" t="str">
        <f t="shared" ca="1" si="14"/>
        <v/>
      </c>
      <c r="EG11" s="13" t="str">
        <f t="shared" ca="1" si="14"/>
        <v/>
      </c>
      <c r="EH11" s="13" t="str">
        <f t="shared" ca="1" si="14"/>
        <v/>
      </c>
      <c r="EI11" s="13" t="str">
        <f t="shared" ca="1" si="14"/>
        <v/>
      </c>
      <c r="EJ11" s="13" t="str">
        <f t="shared" ca="1" si="14"/>
        <v/>
      </c>
    </row>
    <row r="12" spans="1:141" s="1" customFormat="1" ht="40.15" customHeight="1" x14ac:dyDescent="0.25">
      <c r="A12" s="5"/>
      <c r="B12" s="52" t="s">
        <v>19</v>
      </c>
      <c r="C12" s="47" t="s">
        <v>6</v>
      </c>
      <c r="D12" s="71" t="s">
        <v>22</v>
      </c>
      <c r="E12" s="48" t="s">
        <v>23</v>
      </c>
      <c r="F12" s="49">
        <v>44346</v>
      </c>
      <c r="G12" s="50">
        <v>1</v>
      </c>
      <c r="H12" s="51"/>
      <c r="I12" s="13" t="str">
        <f ca="1">IF(AND($C12="目標",I$7&gt;=$F12,I$7&lt;=$F12+$G12-1),2,IF(AND($C12="マイルストーン",I$7&gt;=$F12,I$7&lt;=$F12+$G12-1),1,""))</f>
        <v/>
      </c>
      <c r="J12" s="13" t="str">
        <f t="shared" ca="1" si="9"/>
        <v/>
      </c>
      <c r="K12" s="13" t="str">
        <f t="shared" ca="1" si="9"/>
        <v/>
      </c>
      <c r="L12" s="13" t="str">
        <f t="shared" ca="1" si="9"/>
        <v/>
      </c>
      <c r="M12" s="13" t="str">
        <f t="shared" ca="1" si="9"/>
        <v/>
      </c>
      <c r="N12" s="13" t="str">
        <f t="shared" ca="1" si="9"/>
        <v/>
      </c>
      <c r="O12" s="13" t="str">
        <f t="shared" ca="1" si="9"/>
        <v/>
      </c>
      <c r="P12" s="13">
        <f t="shared" ca="1" si="9"/>
        <v>1</v>
      </c>
      <c r="Q12" s="13" t="str">
        <f t="shared" ca="1" si="9"/>
        <v/>
      </c>
      <c r="R12" s="19" t="str">
        <f t="shared" ca="1" si="9"/>
        <v/>
      </c>
      <c r="S12" s="13" t="str">
        <f t="shared" ca="1" si="9"/>
        <v/>
      </c>
      <c r="T12" s="13" t="str">
        <f t="shared" ca="1" si="9"/>
        <v/>
      </c>
      <c r="U12" s="13" t="str">
        <f t="shared" ca="1" si="9"/>
        <v/>
      </c>
      <c r="V12" s="13" t="str">
        <f t="shared" ca="1" si="9"/>
        <v/>
      </c>
      <c r="W12" s="13" t="str">
        <f t="shared" ca="1" si="9"/>
        <v/>
      </c>
      <c r="X12" s="13" t="str">
        <f t="shared" ca="1" si="9"/>
        <v/>
      </c>
      <c r="Y12" s="13" t="str">
        <f t="shared" ca="1" si="10"/>
        <v/>
      </c>
      <c r="Z12" s="13" t="str">
        <f t="shared" ca="1" si="10"/>
        <v/>
      </c>
      <c r="AA12" s="13" t="str">
        <f t="shared" ca="1" si="10"/>
        <v/>
      </c>
      <c r="AB12" s="13" t="str">
        <f t="shared" ca="1" si="10"/>
        <v/>
      </c>
      <c r="AC12" s="13" t="str">
        <f t="shared" ca="1" si="10"/>
        <v/>
      </c>
      <c r="AD12" s="13" t="str">
        <f t="shared" ca="1" si="10"/>
        <v/>
      </c>
      <c r="AE12" s="13" t="str">
        <f t="shared" ca="1" si="10"/>
        <v/>
      </c>
      <c r="AF12" s="13" t="str">
        <f t="shared" ca="1" si="10"/>
        <v/>
      </c>
      <c r="AG12" s="13" t="str">
        <f t="shared" ca="1" si="10"/>
        <v/>
      </c>
      <c r="AH12" s="13" t="str">
        <f t="shared" ca="1" si="10"/>
        <v/>
      </c>
      <c r="AI12" s="13" t="str">
        <f t="shared" ca="1" si="10"/>
        <v/>
      </c>
      <c r="AJ12" s="13" t="str">
        <f t="shared" ca="1" si="10"/>
        <v/>
      </c>
      <c r="AK12" s="13" t="str">
        <f t="shared" ca="1" si="10"/>
        <v/>
      </c>
      <c r="AL12" s="13" t="str">
        <f t="shared" ca="1" si="10"/>
        <v/>
      </c>
      <c r="AM12" s="13" t="str">
        <f t="shared" ca="1" si="10"/>
        <v/>
      </c>
      <c r="AN12" s="13" t="str">
        <f t="shared" ca="1" si="10"/>
        <v/>
      </c>
      <c r="AO12" s="13" t="str">
        <f t="shared" ca="1" si="11"/>
        <v/>
      </c>
      <c r="AP12" s="13" t="str">
        <f t="shared" ca="1" si="11"/>
        <v/>
      </c>
      <c r="AQ12" s="13" t="str">
        <f t="shared" ca="1" si="11"/>
        <v/>
      </c>
      <c r="AR12" s="13" t="str">
        <f t="shared" ca="1" si="11"/>
        <v/>
      </c>
      <c r="AS12" s="13" t="str">
        <f t="shared" ca="1" si="11"/>
        <v/>
      </c>
      <c r="AT12" s="13" t="str">
        <f t="shared" ca="1" si="11"/>
        <v/>
      </c>
      <c r="AU12" s="13" t="str">
        <f t="shared" ca="1" si="11"/>
        <v/>
      </c>
      <c r="AV12" s="13" t="str">
        <f t="shared" ca="1" si="11"/>
        <v/>
      </c>
      <c r="AW12" s="13" t="str">
        <f t="shared" ca="1" si="11"/>
        <v/>
      </c>
      <c r="AX12" s="13" t="str">
        <f t="shared" ca="1" si="11"/>
        <v/>
      </c>
      <c r="AY12" s="13" t="str">
        <f t="shared" ca="1" si="11"/>
        <v/>
      </c>
      <c r="AZ12" s="13" t="str">
        <f t="shared" ca="1" si="11"/>
        <v/>
      </c>
      <c r="BA12" s="13" t="str">
        <f t="shared" ca="1" si="11"/>
        <v/>
      </c>
      <c r="BB12" s="13" t="str">
        <f t="shared" ca="1" si="11"/>
        <v/>
      </c>
      <c r="BC12" s="13" t="str">
        <f t="shared" ca="1" si="11"/>
        <v/>
      </c>
      <c r="BD12" s="13" t="str">
        <f t="shared" ca="1" si="11"/>
        <v/>
      </c>
      <c r="BE12" s="13" t="str">
        <f t="shared" ca="1" si="12"/>
        <v/>
      </c>
      <c r="BF12" s="13" t="str">
        <f t="shared" ca="1" si="12"/>
        <v/>
      </c>
      <c r="BG12" s="13" t="str">
        <f t="shared" ca="1" si="12"/>
        <v/>
      </c>
      <c r="BH12" s="13" t="str">
        <f t="shared" ca="1" si="12"/>
        <v/>
      </c>
      <c r="BI12" s="13" t="str">
        <f t="shared" ca="1" si="12"/>
        <v/>
      </c>
      <c r="BJ12" s="13" t="str">
        <f t="shared" ca="1" si="12"/>
        <v/>
      </c>
      <c r="BK12" s="13" t="str">
        <f t="shared" ca="1" si="12"/>
        <v/>
      </c>
      <c r="BL12" s="13" t="str">
        <f t="shared" ca="1" si="12"/>
        <v/>
      </c>
      <c r="BM12" s="13" t="str">
        <f t="shared" ca="1" si="12"/>
        <v/>
      </c>
      <c r="BN12" s="13" t="str">
        <f t="shared" ca="1" si="12"/>
        <v/>
      </c>
      <c r="BO12" s="13" t="str">
        <f t="shared" ca="1" si="12"/>
        <v/>
      </c>
      <c r="BP12" s="13" t="str">
        <f t="shared" ca="1" si="12"/>
        <v/>
      </c>
      <c r="BQ12" s="13" t="str">
        <f t="shared" ca="1" si="12"/>
        <v/>
      </c>
      <c r="BR12" s="13" t="str">
        <f t="shared" ca="1" si="12"/>
        <v/>
      </c>
      <c r="BS12" s="13" t="str">
        <f t="shared" ca="1" si="13"/>
        <v/>
      </c>
      <c r="BT12" s="13" t="str">
        <f t="shared" ca="1" si="13"/>
        <v/>
      </c>
      <c r="BU12" s="13" t="str">
        <f t="shared" ca="1" si="13"/>
        <v/>
      </c>
      <c r="BV12" s="13" t="str">
        <f t="shared" ca="1" si="13"/>
        <v/>
      </c>
      <c r="BW12" s="13" t="str">
        <f t="shared" ca="1" si="13"/>
        <v/>
      </c>
      <c r="BX12" s="13" t="str">
        <f t="shared" ca="1" si="13"/>
        <v/>
      </c>
      <c r="BY12" s="13" t="str">
        <f t="shared" ca="1" si="13"/>
        <v/>
      </c>
      <c r="BZ12" s="13" t="str">
        <f t="shared" ca="1" si="13"/>
        <v/>
      </c>
      <c r="CA12" s="13" t="str">
        <f t="shared" ca="1" si="13"/>
        <v/>
      </c>
      <c r="CB12" s="13" t="str">
        <f t="shared" ca="1" si="13"/>
        <v/>
      </c>
      <c r="CC12" s="13" t="str">
        <f t="shared" ca="1" si="13"/>
        <v/>
      </c>
      <c r="CD12" s="13" t="str">
        <f t="shared" ca="1" si="13"/>
        <v/>
      </c>
      <c r="CE12" s="13" t="str">
        <f t="shared" ca="1" si="13"/>
        <v/>
      </c>
      <c r="CF12" s="13" t="str">
        <f t="shared" ca="1" si="13"/>
        <v/>
      </c>
      <c r="CG12" s="13" t="str">
        <f t="shared" ca="1" si="13"/>
        <v/>
      </c>
      <c r="CH12" s="13" t="str">
        <f t="shared" ca="1" si="13"/>
        <v/>
      </c>
      <c r="CI12" s="13" t="str">
        <f t="shared" ca="1" si="13"/>
        <v/>
      </c>
      <c r="CJ12" s="13" t="str">
        <f t="shared" ca="1" si="13"/>
        <v/>
      </c>
      <c r="CK12" s="13" t="str">
        <f t="shared" ca="1" si="13"/>
        <v/>
      </c>
      <c r="CL12" s="13" t="str">
        <f t="shared" ca="1" si="13"/>
        <v/>
      </c>
      <c r="CM12" s="13" t="str">
        <f t="shared" ca="1" si="14"/>
        <v/>
      </c>
      <c r="CN12" s="13" t="str">
        <f t="shared" ca="1" si="14"/>
        <v/>
      </c>
      <c r="CO12" s="13" t="str">
        <f t="shared" ca="1" si="14"/>
        <v/>
      </c>
      <c r="CP12" s="13" t="str">
        <f t="shared" ca="1" si="14"/>
        <v/>
      </c>
      <c r="CQ12" s="13" t="str">
        <f t="shared" ca="1" si="14"/>
        <v/>
      </c>
      <c r="CR12" s="13" t="str">
        <f t="shared" ca="1" si="14"/>
        <v/>
      </c>
      <c r="CS12" s="13" t="str">
        <f t="shared" ca="1" si="14"/>
        <v/>
      </c>
      <c r="CT12" s="13" t="str">
        <f t="shared" ca="1" si="14"/>
        <v/>
      </c>
      <c r="CU12" s="13" t="str">
        <f t="shared" ca="1" si="14"/>
        <v/>
      </c>
      <c r="CV12" s="13" t="str">
        <f t="shared" ca="1" si="14"/>
        <v/>
      </c>
      <c r="CW12" s="13" t="str">
        <f t="shared" ca="1" si="14"/>
        <v/>
      </c>
      <c r="CX12" s="13" t="str">
        <f t="shared" ca="1" si="14"/>
        <v/>
      </c>
      <c r="CY12" s="13" t="str">
        <f t="shared" ca="1" si="14"/>
        <v/>
      </c>
      <c r="CZ12" s="13" t="str">
        <f t="shared" ca="1" si="14"/>
        <v/>
      </c>
      <c r="DA12" s="13" t="str">
        <f t="shared" ca="1" si="14"/>
        <v/>
      </c>
      <c r="DB12" s="13" t="str">
        <f t="shared" ca="1" si="14"/>
        <v/>
      </c>
      <c r="DC12" s="13" t="str">
        <f t="shared" ca="1" si="14"/>
        <v/>
      </c>
      <c r="DD12" s="13" t="str">
        <f t="shared" ca="1" si="14"/>
        <v/>
      </c>
      <c r="DE12" s="13" t="str">
        <f t="shared" ca="1" si="14"/>
        <v/>
      </c>
      <c r="DF12" s="13" t="str">
        <f t="shared" ca="1" si="14"/>
        <v/>
      </c>
      <c r="DG12" s="13" t="str">
        <f t="shared" ca="1" si="14"/>
        <v/>
      </c>
      <c r="DH12" s="13" t="str">
        <f t="shared" ca="1" si="14"/>
        <v/>
      </c>
      <c r="DI12" s="13" t="str">
        <f t="shared" ca="1" si="14"/>
        <v/>
      </c>
      <c r="DJ12" s="13" t="str">
        <f t="shared" ca="1" si="14"/>
        <v/>
      </c>
      <c r="DK12" s="13" t="str">
        <f t="shared" ca="1" si="14"/>
        <v/>
      </c>
      <c r="DL12" s="13" t="str">
        <f t="shared" ca="1" si="14"/>
        <v/>
      </c>
      <c r="DM12" s="13" t="str">
        <f t="shared" ca="1" si="14"/>
        <v/>
      </c>
      <c r="DN12" s="13" t="str">
        <f t="shared" ca="1" si="14"/>
        <v/>
      </c>
      <c r="DO12" s="13" t="str">
        <f t="shared" ca="1" si="14"/>
        <v/>
      </c>
      <c r="DP12" s="13" t="str">
        <f t="shared" ca="1" si="14"/>
        <v/>
      </c>
      <c r="DQ12" s="13" t="str">
        <f t="shared" ca="1" si="14"/>
        <v/>
      </c>
      <c r="DR12" s="13" t="str">
        <f t="shared" ca="1" si="14"/>
        <v/>
      </c>
      <c r="DS12" s="13" t="str">
        <f t="shared" ca="1" si="14"/>
        <v/>
      </c>
      <c r="DT12" s="13" t="str">
        <f t="shared" ca="1" si="14"/>
        <v/>
      </c>
      <c r="DU12" s="13" t="str">
        <f t="shared" ca="1" si="14"/>
        <v/>
      </c>
      <c r="DV12" s="13" t="str">
        <f t="shared" ca="1" si="14"/>
        <v/>
      </c>
      <c r="DW12" s="13" t="str">
        <f t="shared" ca="1" si="14"/>
        <v/>
      </c>
      <c r="DX12" s="13" t="str">
        <f t="shared" ca="1" si="14"/>
        <v/>
      </c>
      <c r="DY12" s="13" t="str">
        <f t="shared" ca="1" si="14"/>
        <v/>
      </c>
      <c r="DZ12" s="13" t="str">
        <f t="shared" ca="1" si="14"/>
        <v/>
      </c>
      <c r="EA12" s="13" t="str">
        <f t="shared" ca="1" si="14"/>
        <v/>
      </c>
      <c r="EB12" s="13" t="str">
        <f t="shared" ca="1" si="14"/>
        <v/>
      </c>
      <c r="EC12" s="13" t="str">
        <f t="shared" ca="1" si="14"/>
        <v/>
      </c>
      <c r="ED12" s="13" t="str">
        <f t="shared" ca="1" si="14"/>
        <v/>
      </c>
      <c r="EE12" s="13" t="str">
        <f t="shared" ca="1" si="14"/>
        <v/>
      </c>
      <c r="EF12" s="13" t="str">
        <f t="shared" ca="1" si="14"/>
        <v/>
      </c>
      <c r="EG12" s="13" t="str">
        <f t="shared" ca="1" si="14"/>
        <v/>
      </c>
      <c r="EH12" s="13" t="str">
        <f t="shared" ca="1" si="14"/>
        <v/>
      </c>
      <c r="EI12" s="13" t="str">
        <f t="shared" ca="1" si="14"/>
        <v/>
      </c>
      <c r="EJ12" s="13" t="str">
        <f t="shared" ca="1" si="14"/>
        <v/>
      </c>
    </row>
    <row r="13" spans="1:141" s="1" customFormat="1" ht="40.15" customHeight="1" x14ac:dyDescent="0.25">
      <c r="A13" s="5"/>
      <c r="B13" s="52" t="s">
        <v>20</v>
      </c>
      <c r="C13" s="47" t="s">
        <v>10</v>
      </c>
      <c r="D13" s="47"/>
      <c r="E13" s="48">
        <v>0.4</v>
      </c>
      <c r="F13" s="49">
        <v>44332</v>
      </c>
      <c r="G13" s="50">
        <v>15</v>
      </c>
      <c r="H13" s="51"/>
      <c r="I13" s="13" t="str">
        <f t="shared" ref="I13:I19" ca="1" si="15">IF(AND($C13="目標",I$7&gt;=$F13,I$7&lt;=$F13+$G13-1),2,IF(AND($C13="マイルストーン",I$7&gt;=$F13,I$7&lt;=$F13+$G13-1),1,""))</f>
        <v/>
      </c>
      <c r="J13" s="13" t="str">
        <f t="shared" ca="1" si="9"/>
        <v/>
      </c>
      <c r="K13" s="13" t="str">
        <f t="shared" ca="1" si="9"/>
        <v/>
      </c>
      <c r="L13" s="13" t="str">
        <f t="shared" ca="1" si="9"/>
        <v/>
      </c>
      <c r="M13" s="13" t="str">
        <f t="shared" ca="1" si="9"/>
        <v/>
      </c>
      <c r="N13" s="13" t="str">
        <f t="shared" ca="1" si="9"/>
        <v/>
      </c>
      <c r="O13" s="13" t="str">
        <f t="shared" ca="1" si="9"/>
        <v/>
      </c>
      <c r="P13" s="13" t="str">
        <f t="shared" ca="1" si="9"/>
        <v/>
      </c>
      <c r="Q13" s="13" t="str">
        <f t="shared" ca="1" si="9"/>
        <v/>
      </c>
      <c r="R13" s="13" t="str">
        <f t="shared" ca="1" si="9"/>
        <v/>
      </c>
      <c r="S13" s="13" t="str">
        <f t="shared" ca="1" si="9"/>
        <v/>
      </c>
      <c r="T13" s="13" t="str">
        <f t="shared" ca="1" si="9"/>
        <v/>
      </c>
      <c r="U13" s="13" t="str">
        <f t="shared" ca="1" si="9"/>
        <v/>
      </c>
      <c r="V13" s="13" t="str">
        <f t="shared" ca="1" si="9"/>
        <v/>
      </c>
      <c r="W13" s="13" t="str">
        <f t="shared" ca="1" si="9"/>
        <v/>
      </c>
      <c r="X13" s="13" t="str">
        <f t="shared" ca="1" si="9"/>
        <v/>
      </c>
      <c r="Y13" s="13" t="str">
        <f t="shared" ca="1" si="10"/>
        <v/>
      </c>
      <c r="Z13" s="13" t="str">
        <f t="shared" ca="1" si="10"/>
        <v/>
      </c>
      <c r="AA13" s="13" t="str">
        <f t="shared" ca="1" si="10"/>
        <v/>
      </c>
      <c r="AB13" s="13" t="str">
        <f t="shared" ca="1" si="10"/>
        <v/>
      </c>
      <c r="AC13" s="13" t="str">
        <f t="shared" ca="1" si="10"/>
        <v/>
      </c>
      <c r="AD13" s="13" t="str">
        <f t="shared" ca="1" si="10"/>
        <v/>
      </c>
      <c r="AE13" s="13" t="str">
        <f t="shared" ca="1" si="10"/>
        <v/>
      </c>
      <c r="AF13" s="13" t="str">
        <f t="shared" ca="1" si="10"/>
        <v/>
      </c>
      <c r="AG13" s="13" t="str">
        <f t="shared" ca="1" si="10"/>
        <v/>
      </c>
      <c r="AH13" s="13" t="str">
        <f t="shared" ca="1" si="10"/>
        <v/>
      </c>
      <c r="AI13" s="13" t="str">
        <f t="shared" ca="1" si="10"/>
        <v/>
      </c>
      <c r="AJ13" s="13" t="str">
        <f t="shared" ca="1" si="10"/>
        <v/>
      </c>
      <c r="AK13" s="13" t="str">
        <f t="shared" ca="1" si="10"/>
        <v/>
      </c>
      <c r="AL13" s="13" t="str">
        <f t="shared" ca="1" si="10"/>
        <v/>
      </c>
      <c r="AM13" s="13" t="str">
        <f t="shared" ca="1" si="10"/>
        <v/>
      </c>
      <c r="AN13" s="13" t="str">
        <f t="shared" ca="1" si="10"/>
        <v/>
      </c>
      <c r="AO13" s="13" t="str">
        <f t="shared" ca="1" si="11"/>
        <v/>
      </c>
      <c r="AP13" s="13" t="str">
        <f t="shared" ca="1" si="11"/>
        <v/>
      </c>
      <c r="AQ13" s="13" t="str">
        <f t="shared" ca="1" si="11"/>
        <v/>
      </c>
      <c r="AR13" s="13" t="str">
        <f t="shared" ca="1" si="11"/>
        <v/>
      </c>
      <c r="AS13" s="13" t="str">
        <f t="shared" ca="1" si="11"/>
        <v/>
      </c>
      <c r="AT13" s="13" t="str">
        <f t="shared" ca="1" si="11"/>
        <v/>
      </c>
      <c r="AU13" s="13" t="str">
        <f t="shared" ca="1" si="11"/>
        <v/>
      </c>
      <c r="AV13" s="13" t="str">
        <f t="shared" ca="1" si="11"/>
        <v/>
      </c>
      <c r="AW13" s="13" t="str">
        <f t="shared" ca="1" si="11"/>
        <v/>
      </c>
      <c r="AX13" s="13" t="str">
        <f t="shared" ca="1" si="11"/>
        <v/>
      </c>
      <c r="AY13" s="13" t="str">
        <f t="shared" ca="1" si="11"/>
        <v/>
      </c>
      <c r="AZ13" s="13" t="str">
        <f t="shared" ca="1" si="11"/>
        <v/>
      </c>
      <c r="BA13" s="13" t="str">
        <f t="shared" ca="1" si="11"/>
        <v/>
      </c>
      <c r="BB13" s="13" t="str">
        <f t="shared" ca="1" si="11"/>
        <v/>
      </c>
      <c r="BC13" s="13" t="str">
        <f t="shared" ca="1" si="11"/>
        <v/>
      </c>
      <c r="BD13" s="13" t="str">
        <f t="shared" ca="1" si="11"/>
        <v/>
      </c>
      <c r="BE13" s="13" t="str">
        <f t="shared" ca="1" si="12"/>
        <v/>
      </c>
      <c r="BF13" s="13" t="str">
        <f t="shared" ca="1" si="12"/>
        <v/>
      </c>
      <c r="BG13" s="13" t="str">
        <f t="shared" ca="1" si="12"/>
        <v/>
      </c>
      <c r="BH13" s="13" t="str">
        <f t="shared" ca="1" si="12"/>
        <v/>
      </c>
      <c r="BI13" s="13" t="str">
        <f t="shared" ca="1" si="12"/>
        <v/>
      </c>
      <c r="BJ13" s="13" t="str">
        <f t="shared" ca="1" si="12"/>
        <v/>
      </c>
      <c r="BK13" s="13" t="str">
        <f t="shared" ca="1" si="12"/>
        <v/>
      </c>
      <c r="BL13" s="13" t="str">
        <f t="shared" ca="1" si="12"/>
        <v/>
      </c>
      <c r="BM13" s="13" t="str">
        <f t="shared" ca="1" si="12"/>
        <v/>
      </c>
      <c r="BN13" s="13" t="str">
        <f t="shared" ca="1" si="12"/>
        <v/>
      </c>
      <c r="BO13" s="13" t="str">
        <f t="shared" ca="1" si="12"/>
        <v/>
      </c>
      <c r="BP13" s="13" t="str">
        <f t="shared" ca="1" si="12"/>
        <v/>
      </c>
      <c r="BQ13" s="13" t="str">
        <f t="shared" ca="1" si="12"/>
        <v/>
      </c>
      <c r="BR13" s="13" t="str">
        <f t="shared" ca="1" si="12"/>
        <v/>
      </c>
      <c r="BS13" s="13" t="str">
        <f t="shared" ca="1" si="13"/>
        <v/>
      </c>
      <c r="BT13" s="13" t="str">
        <f t="shared" ca="1" si="13"/>
        <v/>
      </c>
      <c r="BU13" s="13" t="str">
        <f t="shared" ca="1" si="13"/>
        <v/>
      </c>
      <c r="BV13" s="13" t="str">
        <f t="shared" ca="1" si="13"/>
        <v/>
      </c>
      <c r="BW13" s="13" t="str">
        <f t="shared" ca="1" si="13"/>
        <v/>
      </c>
      <c r="BX13" s="13" t="str">
        <f t="shared" ca="1" si="13"/>
        <v/>
      </c>
      <c r="BY13" s="13" t="str">
        <f t="shared" ca="1" si="13"/>
        <v/>
      </c>
      <c r="BZ13" s="13" t="str">
        <f t="shared" ca="1" si="13"/>
        <v/>
      </c>
      <c r="CA13" s="13" t="str">
        <f t="shared" ca="1" si="13"/>
        <v/>
      </c>
      <c r="CB13" s="13" t="str">
        <f t="shared" ca="1" si="13"/>
        <v/>
      </c>
      <c r="CC13" s="13" t="str">
        <f t="shared" ca="1" si="13"/>
        <v/>
      </c>
      <c r="CD13" s="13" t="str">
        <f t="shared" ca="1" si="13"/>
        <v/>
      </c>
      <c r="CE13" s="13" t="str">
        <f t="shared" ca="1" si="13"/>
        <v/>
      </c>
      <c r="CF13" s="13" t="str">
        <f t="shared" ca="1" si="13"/>
        <v/>
      </c>
      <c r="CG13" s="13" t="str">
        <f t="shared" ca="1" si="13"/>
        <v/>
      </c>
      <c r="CH13" s="13" t="str">
        <f t="shared" ca="1" si="13"/>
        <v/>
      </c>
      <c r="CI13" s="13" t="str">
        <f t="shared" ca="1" si="13"/>
        <v/>
      </c>
      <c r="CJ13" s="13" t="str">
        <f t="shared" ca="1" si="13"/>
        <v/>
      </c>
      <c r="CK13" s="13" t="str">
        <f t="shared" ca="1" si="13"/>
        <v/>
      </c>
      <c r="CL13" s="13" t="str">
        <f t="shared" ca="1" si="13"/>
        <v/>
      </c>
      <c r="CM13" s="13" t="str">
        <f t="shared" ca="1" si="14"/>
        <v/>
      </c>
      <c r="CN13" s="13" t="str">
        <f t="shared" ca="1" si="14"/>
        <v/>
      </c>
      <c r="CO13" s="13" t="str">
        <f t="shared" ca="1" si="14"/>
        <v/>
      </c>
      <c r="CP13" s="13" t="str">
        <f t="shared" ca="1" si="14"/>
        <v/>
      </c>
      <c r="CQ13" s="13" t="str">
        <f t="shared" ca="1" si="14"/>
        <v/>
      </c>
      <c r="CR13" s="13" t="str">
        <f t="shared" ca="1" si="14"/>
        <v/>
      </c>
      <c r="CS13" s="13" t="str">
        <f t="shared" ca="1" si="14"/>
        <v/>
      </c>
      <c r="CT13" s="13" t="str">
        <f t="shared" ca="1" si="14"/>
        <v/>
      </c>
      <c r="CU13" s="13" t="str">
        <f t="shared" ca="1" si="14"/>
        <v/>
      </c>
      <c r="CV13" s="13" t="str">
        <f t="shared" ca="1" si="14"/>
        <v/>
      </c>
      <c r="CW13" s="13" t="str">
        <f t="shared" ca="1" si="14"/>
        <v/>
      </c>
      <c r="CX13" s="13" t="str">
        <f t="shared" ca="1" si="14"/>
        <v/>
      </c>
      <c r="CY13" s="13" t="str">
        <f t="shared" ca="1" si="14"/>
        <v/>
      </c>
      <c r="CZ13" s="13" t="str">
        <f t="shared" ca="1" si="14"/>
        <v/>
      </c>
      <c r="DA13" s="13" t="str">
        <f t="shared" ca="1" si="14"/>
        <v/>
      </c>
      <c r="DB13" s="13" t="str">
        <f t="shared" ca="1" si="14"/>
        <v/>
      </c>
      <c r="DC13" s="13" t="str">
        <f t="shared" ca="1" si="14"/>
        <v/>
      </c>
      <c r="DD13" s="13" t="str">
        <f t="shared" ca="1" si="14"/>
        <v/>
      </c>
      <c r="DE13" s="13" t="str">
        <f t="shared" ca="1" si="14"/>
        <v/>
      </c>
      <c r="DF13" s="13" t="str">
        <f t="shared" ca="1" si="14"/>
        <v/>
      </c>
      <c r="DG13" s="13" t="str">
        <f t="shared" ca="1" si="14"/>
        <v/>
      </c>
      <c r="DH13" s="13" t="str">
        <f t="shared" ca="1" si="14"/>
        <v/>
      </c>
      <c r="DI13" s="13" t="str">
        <f t="shared" ca="1" si="14"/>
        <v/>
      </c>
      <c r="DJ13" s="13" t="str">
        <f t="shared" ca="1" si="14"/>
        <v/>
      </c>
      <c r="DK13" s="13" t="str">
        <f t="shared" ca="1" si="14"/>
        <v/>
      </c>
      <c r="DL13" s="13" t="str">
        <f t="shared" ca="1" si="14"/>
        <v/>
      </c>
      <c r="DM13" s="13" t="str">
        <f t="shared" ca="1" si="14"/>
        <v/>
      </c>
      <c r="DN13" s="13" t="str">
        <f t="shared" ca="1" si="14"/>
        <v/>
      </c>
      <c r="DO13" s="13" t="str">
        <f t="shared" ca="1" si="14"/>
        <v/>
      </c>
      <c r="DP13" s="13" t="str">
        <f t="shared" ca="1" si="14"/>
        <v/>
      </c>
      <c r="DQ13" s="13" t="str">
        <f t="shared" ca="1" si="14"/>
        <v/>
      </c>
      <c r="DR13" s="13" t="str">
        <f t="shared" ca="1" si="14"/>
        <v/>
      </c>
      <c r="DS13" s="13" t="str">
        <f t="shared" ca="1" si="14"/>
        <v/>
      </c>
      <c r="DT13" s="13" t="str">
        <f t="shared" ca="1" si="14"/>
        <v/>
      </c>
      <c r="DU13" s="13" t="str">
        <f t="shared" ca="1" si="14"/>
        <v/>
      </c>
      <c r="DV13" s="13" t="str">
        <f t="shared" ca="1" si="14"/>
        <v/>
      </c>
      <c r="DW13" s="13" t="str">
        <f t="shared" ca="1" si="14"/>
        <v/>
      </c>
      <c r="DX13" s="13" t="str">
        <f t="shared" ca="1" si="14"/>
        <v/>
      </c>
      <c r="DY13" s="13" t="str">
        <f t="shared" ca="1" si="14"/>
        <v/>
      </c>
      <c r="DZ13" s="13" t="str">
        <f t="shared" ca="1" si="14"/>
        <v/>
      </c>
      <c r="EA13" s="13" t="str">
        <f t="shared" ca="1" si="14"/>
        <v/>
      </c>
      <c r="EB13" s="13" t="str">
        <f t="shared" ca="1" si="14"/>
        <v/>
      </c>
      <c r="EC13" s="13" t="str">
        <f t="shared" ca="1" si="14"/>
        <v/>
      </c>
      <c r="ED13" s="13" t="str">
        <f t="shared" ca="1" si="14"/>
        <v/>
      </c>
      <c r="EE13" s="13" t="str">
        <f t="shared" ca="1" si="14"/>
        <v/>
      </c>
      <c r="EF13" s="13" t="str">
        <f t="shared" ca="1" si="14"/>
        <v/>
      </c>
      <c r="EG13" s="13" t="str">
        <f t="shared" ca="1" si="14"/>
        <v/>
      </c>
      <c r="EH13" s="13" t="str">
        <f t="shared" ca="1" si="14"/>
        <v/>
      </c>
      <c r="EI13" s="13" t="str">
        <f t="shared" ca="1" si="14"/>
        <v/>
      </c>
      <c r="EJ13" s="13" t="str">
        <f t="shared" ca="1" si="14"/>
        <v/>
      </c>
    </row>
    <row r="14" spans="1:141" s="1" customFormat="1" ht="40.15" customHeight="1" x14ac:dyDescent="0.25">
      <c r="A14" s="5"/>
      <c r="B14" s="46" t="s">
        <v>24</v>
      </c>
      <c r="C14" s="47"/>
      <c r="D14" s="47"/>
      <c r="E14" s="48"/>
      <c r="F14" s="49"/>
      <c r="G14" s="50"/>
      <c r="H14" s="51"/>
      <c r="I14" s="13" t="str">
        <f t="shared" ca="1" si="15"/>
        <v/>
      </c>
      <c r="J14" s="13" t="str">
        <f t="shared" ca="1" si="9"/>
        <v/>
      </c>
      <c r="K14" s="13" t="str">
        <f t="shared" ca="1" si="9"/>
        <v/>
      </c>
      <c r="L14" s="13" t="str">
        <f t="shared" ca="1" si="9"/>
        <v/>
      </c>
      <c r="M14" s="13" t="str">
        <f t="shared" ca="1" si="9"/>
        <v/>
      </c>
      <c r="N14" s="13" t="str">
        <f t="shared" ca="1" si="9"/>
        <v/>
      </c>
      <c r="O14" s="13" t="str">
        <f t="shared" ca="1" si="9"/>
        <v/>
      </c>
      <c r="P14" s="13" t="str">
        <f t="shared" ca="1" si="9"/>
        <v/>
      </c>
      <c r="Q14" s="13" t="str">
        <f t="shared" ca="1" si="9"/>
        <v/>
      </c>
      <c r="R14" s="13" t="str">
        <f t="shared" ca="1" si="9"/>
        <v/>
      </c>
      <c r="S14" s="13" t="str">
        <f t="shared" ca="1" si="9"/>
        <v/>
      </c>
      <c r="T14" s="13" t="str">
        <f t="shared" ca="1" si="9"/>
        <v/>
      </c>
      <c r="U14" s="13" t="str">
        <f t="shared" ca="1" si="9"/>
        <v/>
      </c>
      <c r="V14" s="13" t="str">
        <f t="shared" ca="1" si="9"/>
        <v/>
      </c>
      <c r="W14" s="13" t="str">
        <f t="shared" ca="1" si="9"/>
        <v/>
      </c>
      <c r="X14" s="13" t="str">
        <f t="shared" ca="1" si="9"/>
        <v/>
      </c>
      <c r="Y14" s="13" t="str">
        <f t="shared" ca="1" si="10"/>
        <v/>
      </c>
      <c r="Z14" s="13" t="str">
        <f t="shared" ca="1" si="10"/>
        <v/>
      </c>
      <c r="AA14" s="13" t="str">
        <f t="shared" ca="1" si="10"/>
        <v/>
      </c>
      <c r="AB14" s="13" t="str">
        <f t="shared" ca="1" si="10"/>
        <v/>
      </c>
      <c r="AC14" s="13" t="str">
        <f t="shared" ca="1" si="10"/>
        <v/>
      </c>
      <c r="AD14" s="13" t="str">
        <f t="shared" ca="1" si="10"/>
        <v/>
      </c>
      <c r="AE14" s="13" t="str">
        <f t="shared" ca="1" si="10"/>
        <v/>
      </c>
      <c r="AF14" s="13" t="str">
        <f t="shared" ca="1" si="10"/>
        <v/>
      </c>
      <c r="AG14" s="13" t="str">
        <f t="shared" ca="1" si="10"/>
        <v/>
      </c>
      <c r="AH14" s="13" t="str">
        <f t="shared" ca="1" si="10"/>
        <v/>
      </c>
      <c r="AI14" s="13" t="str">
        <f t="shared" ca="1" si="10"/>
        <v/>
      </c>
      <c r="AJ14" s="13" t="str">
        <f t="shared" ca="1" si="10"/>
        <v/>
      </c>
      <c r="AK14" s="13" t="str">
        <f t="shared" ca="1" si="10"/>
        <v/>
      </c>
      <c r="AL14" s="13" t="str">
        <f t="shared" ca="1" si="10"/>
        <v/>
      </c>
      <c r="AM14" s="13" t="str">
        <f t="shared" ca="1" si="10"/>
        <v/>
      </c>
      <c r="AN14" s="13" t="str">
        <f t="shared" ca="1" si="10"/>
        <v/>
      </c>
      <c r="AO14" s="13" t="str">
        <f t="shared" ca="1" si="11"/>
        <v/>
      </c>
      <c r="AP14" s="13" t="str">
        <f t="shared" ca="1" si="11"/>
        <v/>
      </c>
      <c r="AQ14" s="13" t="str">
        <f t="shared" ca="1" si="11"/>
        <v/>
      </c>
      <c r="AR14" s="13" t="str">
        <f t="shared" ca="1" si="11"/>
        <v/>
      </c>
      <c r="AS14" s="13" t="str">
        <f t="shared" ca="1" si="11"/>
        <v/>
      </c>
      <c r="AT14" s="13" t="str">
        <f t="shared" ca="1" si="11"/>
        <v/>
      </c>
      <c r="AU14" s="13" t="str">
        <f t="shared" ca="1" si="11"/>
        <v/>
      </c>
      <c r="AV14" s="13" t="str">
        <f t="shared" ca="1" si="11"/>
        <v/>
      </c>
      <c r="AW14" s="13" t="str">
        <f t="shared" ca="1" si="11"/>
        <v/>
      </c>
      <c r="AX14" s="13" t="str">
        <f t="shared" ca="1" si="11"/>
        <v/>
      </c>
      <c r="AY14" s="13" t="str">
        <f t="shared" ca="1" si="11"/>
        <v/>
      </c>
      <c r="AZ14" s="13" t="str">
        <f t="shared" ca="1" si="11"/>
        <v/>
      </c>
      <c r="BA14" s="13" t="str">
        <f t="shared" ca="1" si="11"/>
        <v/>
      </c>
      <c r="BB14" s="13" t="str">
        <f t="shared" ca="1" si="11"/>
        <v/>
      </c>
      <c r="BC14" s="13" t="str">
        <f t="shared" ca="1" si="11"/>
        <v/>
      </c>
      <c r="BD14" s="13" t="str">
        <f t="shared" ca="1" si="11"/>
        <v/>
      </c>
      <c r="BE14" s="13" t="str">
        <f t="shared" ca="1" si="12"/>
        <v/>
      </c>
      <c r="BF14" s="13" t="str">
        <f t="shared" ca="1" si="12"/>
        <v/>
      </c>
      <c r="BG14" s="13" t="str">
        <f t="shared" ca="1" si="12"/>
        <v/>
      </c>
      <c r="BH14" s="13" t="str">
        <f t="shared" ca="1" si="12"/>
        <v/>
      </c>
      <c r="BI14" s="13" t="str">
        <f t="shared" ca="1" si="12"/>
        <v/>
      </c>
      <c r="BJ14" s="13" t="str">
        <f t="shared" ca="1" si="12"/>
        <v/>
      </c>
      <c r="BK14" s="13" t="str">
        <f t="shared" ca="1" si="12"/>
        <v/>
      </c>
      <c r="BL14" s="13" t="str">
        <f t="shared" ca="1" si="12"/>
        <v/>
      </c>
      <c r="BM14" s="13" t="str">
        <f t="shared" ca="1" si="12"/>
        <v/>
      </c>
      <c r="BN14" s="13" t="str">
        <f t="shared" ca="1" si="12"/>
        <v/>
      </c>
      <c r="BO14" s="13" t="str">
        <f t="shared" ca="1" si="12"/>
        <v/>
      </c>
      <c r="BP14" s="13" t="str">
        <f t="shared" ca="1" si="12"/>
        <v/>
      </c>
      <c r="BQ14" s="13" t="str">
        <f t="shared" ca="1" si="12"/>
        <v/>
      </c>
      <c r="BR14" s="13" t="str">
        <f t="shared" ca="1" si="12"/>
        <v/>
      </c>
      <c r="BS14" s="13" t="str">
        <f t="shared" ca="1" si="13"/>
        <v/>
      </c>
      <c r="BT14" s="13" t="str">
        <f t="shared" ca="1" si="13"/>
        <v/>
      </c>
      <c r="BU14" s="13" t="str">
        <f t="shared" ca="1" si="13"/>
        <v/>
      </c>
      <c r="BV14" s="13" t="str">
        <f t="shared" ca="1" si="13"/>
        <v/>
      </c>
      <c r="BW14" s="13" t="str">
        <f t="shared" ca="1" si="13"/>
        <v/>
      </c>
      <c r="BX14" s="13" t="str">
        <f t="shared" ca="1" si="13"/>
        <v/>
      </c>
      <c r="BY14" s="13" t="str">
        <f t="shared" ca="1" si="13"/>
        <v/>
      </c>
      <c r="BZ14" s="13" t="str">
        <f t="shared" ca="1" si="13"/>
        <v/>
      </c>
      <c r="CA14" s="13" t="str">
        <f t="shared" ca="1" si="13"/>
        <v/>
      </c>
      <c r="CB14" s="13" t="str">
        <f t="shared" ca="1" si="13"/>
        <v/>
      </c>
      <c r="CC14" s="13" t="str">
        <f t="shared" ca="1" si="13"/>
        <v/>
      </c>
      <c r="CD14" s="13" t="str">
        <f t="shared" ca="1" si="13"/>
        <v/>
      </c>
      <c r="CE14" s="13" t="str">
        <f t="shared" ca="1" si="13"/>
        <v/>
      </c>
      <c r="CF14" s="13" t="str">
        <f t="shared" ca="1" si="13"/>
        <v/>
      </c>
      <c r="CG14" s="13" t="str">
        <f t="shared" ca="1" si="13"/>
        <v/>
      </c>
      <c r="CH14" s="13" t="str">
        <f t="shared" ca="1" si="13"/>
        <v/>
      </c>
      <c r="CI14" s="13" t="str">
        <f t="shared" ca="1" si="13"/>
        <v/>
      </c>
      <c r="CJ14" s="13" t="str">
        <f t="shared" ca="1" si="13"/>
        <v/>
      </c>
      <c r="CK14" s="13" t="str">
        <f t="shared" ca="1" si="13"/>
        <v/>
      </c>
      <c r="CL14" s="13" t="str">
        <f t="shared" ca="1" si="13"/>
        <v/>
      </c>
      <c r="CM14" s="13" t="str">
        <f t="shared" ca="1" si="14"/>
        <v/>
      </c>
      <c r="CN14" s="13" t="str">
        <f t="shared" ca="1" si="14"/>
        <v/>
      </c>
      <c r="CO14" s="13" t="str">
        <f t="shared" ca="1" si="14"/>
        <v/>
      </c>
      <c r="CP14" s="13" t="str">
        <f t="shared" ca="1" si="14"/>
        <v/>
      </c>
      <c r="CQ14" s="13" t="str">
        <f t="shared" ca="1" si="14"/>
        <v/>
      </c>
      <c r="CR14" s="13" t="str">
        <f t="shared" ca="1" si="14"/>
        <v/>
      </c>
      <c r="CS14" s="13" t="str">
        <f t="shared" ca="1" si="14"/>
        <v/>
      </c>
      <c r="CT14" s="13" t="str">
        <f t="shared" ca="1" si="14"/>
        <v/>
      </c>
      <c r="CU14" s="13" t="str">
        <f t="shared" ca="1" si="14"/>
        <v/>
      </c>
      <c r="CV14" s="13" t="str">
        <f t="shared" ca="1" si="14"/>
        <v/>
      </c>
      <c r="CW14" s="13" t="str">
        <f t="shared" ca="1" si="14"/>
        <v/>
      </c>
      <c r="CX14" s="13" t="str">
        <f t="shared" ca="1" si="14"/>
        <v/>
      </c>
      <c r="CY14" s="13" t="str">
        <f t="shared" ca="1" si="14"/>
        <v/>
      </c>
      <c r="CZ14" s="13" t="str">
        <f t="shared" ca="1" si="14"/>
        <v/>
      </c>
      <c r="DA14" s="13" t="str">
        <f t="shared" ca="1" si="14"/>
        <v/>
      </c>
      <c r="DB14" s="13" t="str">
        <f t="shared" ca="1" si="14"/>
        <v/>
      </c>
      <c r="DC14" s="13" t="str">
        <f t="shared" ca="1" si="14"/>
        <v/>
      </c>
      <c r="DD14" s="13" t="str">
        <f t="shared" ca="1" si="14"/>
        <v/>
      </c>
      <c r="DE14" s="13" t="str">
        <f t="shared" ca="1" si="14"/>
        <v/>
      </c>
      <c r="DF14" s="13" t="str">
        <f t="shared" ca="1" si="14"/>
        <v/>
      </c>
      <c r="DG14" s="13" t="str">
        <f t="shared" ca="1" si="14"/>
        <v/>
      </c>
      <c r="DH14" s="13" t="str">
        <f t="shared" ca="1" si="14"/>
        <v/>
      </c>
      <c r="DI14" s="13" t="str">
        <f t="shared" ca="1" si="14"/>
        <v/>
      </c>
      <c r="DJ14" s="13" t="str">
        <f t="shared" ca="1" si="14"/>
        <v/>
      </c>
      <c r="DK14" s="13" t="str">
        <f t="shared" ca="1" si="14"/>
        <v/>
      </c>
      <c r="DL14" s="13" t="str">
        <f t="shared" ca="1" si="14"/>
        <v/>
      </c>
      <c r="DM14" s="13" t="str">
        <f t="shared" ca="1" si="14"/>
        <v/>
      </c>
      <c r="DN14" s="13" t="str">
        <f t="shared" ca="1" si="14"/>
        <v/>
      </c>
      <c r="DO14" s="13" t="str">
        <f t="shared" ca="1" si="14"/>
        <v/>
      </c>
      <c r="DP14" s="13" t="str">
        <f t="shared" ca="1" si="14"/>
        <v/>
      </c>
      <c r="DQ14" s="13" t="str">
        <f t="shared" ca="1" si="14"/>
        <v/>
      </c>
      <c r="DR14" s="13" t="str">
        <f t="shared" ca="1" si="14"/>
        <v/>
      </c>
      <c r="DS14" s="13" t="str">
        <f t="shared" ca="1" si="14"/>
        <v/>
      </c>
      <c r="DT14" s="13" t="str">
        <f t="shared" ca="1" si="14"/>
        <v/>
      </c>
      <c r="DU14" s="13" t="str">
        <f t="shared" ca="1" si="14"/>
        <v/>
      </c>
      <c r="DV14" s="13" t="str">
        <f t="shared" ca="1" si="14"/>
        <v/>
      </c>
      <c r="DW14" s="13" t="str">
        <f t="shared" ca="1" si="14"/>
        <v/>
      </c>
      <c r="DX14" s="13" t="str">
        <f t="shared" ca="1" si="14"/>
        <v/>
      </c>
      <c r="DY14" s="13" t="str">
        <f t="shared" ca="1" si="14"/>
        <v/>
      </c>
      <c r="DZ14" s="13" t="str">
        <f t="shared" ca="1" si="14"/>
        <v/>
      </c>
      <c r="EA14" s="13" t="str">
        <f t="shared" ca="1" si="14"/>
        <v/>
      </c>
      <c r="EB14" s="13" t="str">
        <f t="shared" ca="1" si="14"/>
        <v/>
      </c>
      <c r="EC14" s="13" t="str">
        <f t="shared" ca="1" si="14"/>
        <v/>
      </c>
      <c r="ED14" s="13" t="str">
        <f t="shared" ca="1" si="14"/>
        <v/>
      </c>
      <c r="EE14" s="13" t="str">
        <f t="shared" ca="1" si="14"/>
        <v/>
      </c>
      <c r="EF14" s="13" t="str">
        <f t="shared" ca="1" si="14"/>
        <v/>
      </c>
      <c r="EG14" s="13" t="str">
        <f t="shared" ca="1" si="14"/>
        <v/>
      </c>
      <c r="EH14" s="13" t="str">
        <f t="shared" ca="1" si="14"/>
        <v/>
      </c>
      <c r="EI14" s="13" t="str">
        <f t="shared" ca="1" si="14"/>
        <v/>
      </c>
      <c r="EJ14" s="13" t="str">
        <f t="shared" ca="1" si="14"/>
        <v/>
      </c>
    </row>
    <row r="15" spans="1:141" s="1" customFormat="1" ht="40.15" customHeight="1" x14ac:dyDescent="0.25">
      <c r="A15" s="5"/>
      <c r="B15" s="52" t="s">
        <v>19</v>
      </c>
      <c r="C15" s="47" t="s">
        <v>6</v>
      </c>
      <c r="D15" s="71" t="s">
        <v>26</v>
      </c>
      <c r="E15" s="48" t="s">
        <v>25</v>
      </c>
      <c r="F15" s="49">
        <f>F12+7</f>
        <v>44353</v>
      </c>
      <c r="G15" s="50">
        <v>1</v>
      </c>
      <c r="H15" s="51"/>
      <c r="I15" s="13" t="str">
        <f t="shared" ca="1" si="15"/>
        <v/>
      </c>
      <c r="J15" s="13" t="str">
        <f t="shared" ca="1" si="9"/>
        <v/>
      </c>
      <c r="K15" s="13" t="str">
        <f t="shared" ca="1" si="9"/>
        <v/>
      </c>
      <c r="L15" s="13" t="str">
        <f t="shared" ca="1" si="9"/>
        <v/>
      </c>
      <c r="M15" s="13" t="str">
        <f t="shared" ca="1" si="9"/>
        <v/>
      </c>
      <c r="N15" s="13" t="str">
        <f t="shared" ca="1" si="9"/>
        <v/>
      </c>
      <c r="O15" s="13" t="str">
        <f t="shared" ca="1" si="9"/>
        <v/>
      </c>
      <c r="P15" s="13" t="str">
        <f t="shared" ca="1" si="9"/>
        <v/>
      </c>
      <c r="Q15" s="13" t="str">
        <f t="shared" ca="1" si="9"/>
        <v/>
      </c>
      <c r="R15" s="13" t="str">
        <f t="shared" ca="1" si="9"/>
        <v/>
      </c>
      <c r="S15" s="13" t="str">
        <f t="shared" ca="1" si="9"/>
        <v/>
      </c>
      <c r="T15" s="13" t="str">
        <f t="shared" ca="1" si="9"/>
        <v/>
      </c>
      <c r="U15" s="13" t="str">
        <f t="shared" ca="1" si="9"/>
        <v/>
      </c>
      <c r="V15" s="13" t="str">
        <f t="shared" ca="1" si="9"/>
        <v/>
      </c>
      <c r="W15" s="13">
        <f t="shared" ca="1" si="9"/>
        <v>1</v>
      </c>
      <c r="X15" s="13" t="str">
        <f t="shared" ca="1" si="9"/>
        <v/>
      </c>
      <c r="Y15" s="13" t="str">
        <f t="shared" ca="1" si="10"/>
        <v/>
      </c>
      <c r="Z15" s="13" t="str">
        <f t="shared" ca="1" si="10"/>
        <v/>
      </c>
      <c r="AA15" s="13" t="str">
        <f t="shared" ca="1" si="10"/>
        <v/>
      </c>
      <c r="AB15" s="13" t="str">
        <f t="shared" ca="1" si="10"/>
        <v/>
      </c>
      <c r="AC15" s="13" t="str">
        <f t="shared" ca="1" si="10"/>
        <v/>
      </c>
      <c r="AD15" s="13" t="str">
        <f t="shared" ca="1" si="10"/>
        <v/>
      </c>
      <c r="AE15" s="13" t="str">
        <f t="shared" ca="1" si="10"/>
        <v/>
      </c>
      <c r="AF15" s="13" t="str">
        <f t="shared" ca="1" si="10"/>
        <v/>
      </c>
      <c r="AG15" s="13" t="str">
        <f t="shared" ca="1" si="10"/>
        <v/>
      </c>
      <c r="AH15" s="13" t="str">
        <f t="shared" ca="1" si="10"/>
        <v/>
      </c>
      <c r="AI15" s="13" t="str">
        <f t="shared" ca="1" si="10"/>
        <v/>
      </c>
      <c r="AJ15" s="13" t="str">
        <f t="shared" ca="1" si="10"/>
        <v/>
      </c>
      <c r="AK15" s="13" t="str">
        <f t="shared" ca="1" si="10"/>
        <v/>
      </c>
      <c r="AL15" s="13" t="str">
        <f t="shared" ca="1" si="10"/>
        <v/>
      </c>
      <c r="AM15" s="13" t="str">
        <f t="shared" ca="1" si="10"/>
        <v/>
      </c>
      <c r="AN15" s="13" t="str">
        <f t="shared" ca="1" si="10"/>
        <v/>
      </c>
      <c r="AO15" s="13" t="str">
        <f t="shared" ca="1" si="11"/>
        <v/>
      </c>
      <c r="AP15" s="13" t="str">
        <f t="shared" ca="1" si="11"/>
        <v/>
      </c>
      <c r="AQ15" s="13" t="str">
        <f t="shared" ca="1" si="11"/>
        <v/>
      </c>
      <c r="AR15" s="13" t="str">
        <f t="shared" ca="1" si="11"/>
        <v/>
      </c>
      <c r="AS15" s="13" t="str">
        <f t="shared" ca="1" si="11"/>
        <v/>
      </c>
      <c r="AT15" s="13" t="str">
        <f t="shared" ca="1" si="11"/>
        <v/>
      </c>
      <c r="AU15" s="13" t="str">
        <f t="shared" ca="1" si="11"/>
        <v/>
      </c>
      <c r="AV15" s="13" t="str">
        <f t="shared" ca="1" si="11"/>
        <v/>
      </c>
      <c r="AW15" s="13" t="str">
        <f t="shared" ca="1" si="11"/>
        <v/>
      </c>
      <c r="AX15" s="13" t="str">
        <f t="shared" ca="1" si="11"/>
        <v/>
      </c>
      <c r="AY15" s="13" t="str">
        <f t="shared" ca="1" si="11"/>
        <v/>
      </c>
      <c r="AZ15" s="13" t="str">
        <f t="shared" ca="1" si="11"/>
        <v/>
      </c>
      <c r="BA15" s="13" t="str">
        <f t="shared" ca="1" si="11"/>
        <v/>
      </c>
      <c r="BB15" s="13" t="str">
        <f t="shared" ca="1" si="11"/>
        <v/>
      </c>
      <c r="BC15" s="13" t="str">
        <f t="shared" ca="1" si="11"/>
        <v/>
      </c>
      <c r="BD15" s="13" t="str">
        <f t="shared" ca="1" si="11"/>
        <v/>
      </c>
      <c r="BE15" s="13" t="str">
        <f t="shared" ca="1" si="12"/>
        <v/>
      </c>
      <c r="BF15" s="13" t="str">
        <f t="shared" ca="1" si="12"/>
        <v/>
      </c>
      <c r="BG15" s="13" t="str">
        <f t="shared" ca="1" si="12"/>
        <v/>
      </c>
      <c r="BH15" s="13" t="str">
        <f t="shared" ca="1" si="12"/>
        <v/>
      </c>
      <c r="BI15" s="13" t="str">
        <f t="shared" ca="1" si="12"/>
        <v/>
      </c>
      <c r="BJ15" s="13" t="str">
        <f t="shared" ca="1" si="12"/>
        <v/>
      </c>
      <c r="BK15" s="13" t="str">
        <f t="shared" ca="1" si="12"/>
        <v/>
      </c>
      <c r="BL15" s="13" t="str">
        <f t="shared" ca="1" si="12"/>
        <v/>
      </c>
      <c r="BM15" s="13" t="str">
        <f t="shared" ca="1" si="12"/>
        <v/>
      </c>
      <c r="BN15" s="13" t="str">
        <f t="shared" ca="1" si="12"/>
        <v/>
      </c>
      <c r="BO15" s="13" t="str">
        <f t="shared" ca="1" si="12"/>
        <v/>
      </c>
      <c r="BP15" s="13" t="str">
        <f t="shared" ca="1" si="12"/>
        <v/>
      </c>
      <c r="BQ15" s="13" t="str">
        <f t="shared" ca="1" si="12"/>
        <v/>
      </c>
      <c r="BR15" s="13" t="str">
        <f t="shared" ca="1" si="12"/>
        <v/>
      </c>
      <c r="BS15" s="13" t="str">
        <f t="shared" ca="1" si="13"/>
        <v/>
      </c>
      <c r="BT15" s="13" t="str">
        <f t="shared" ca="1" si="13"/>
        <v/>
      </c>
      <c r="BU15" s="13" t="str">
        <f t="shared" ca="1" si="13"/>
        <v/>
      </c>
      <c r="BV15" s="13" t="str">
        <f t="shared" ca="1" si="13"/>
        <v/>
      </c>
      <c r="BW15" s="13" t="str">
        <f t="shared" ca="1" si="13"/>
        <v/>
      </c>
      <c r="BX15" s="13" t="str">
        <f t="shared" ca="1" si="13"/>
        <v/>
      </c>
      <c r="BY15" s="13" t="str">
        <f t="shared" ca="1" si="13"/>
        <v/>
      </c>
      <c r="BZ15" s="13" t="str">
        <f t="shared" ca="1" si="13"/>
        <v/>
      </c>
      <c r="CA15" s="13" t="str">
        <f t="shared" ca="1" si="13"/>
        <v/>
      </c>
      <c r="CB15" s="13" t="str">
        <f t="shared" ca="1" si="13"/>
        <v/>
      </c>
      <c r="CC15" s="13" t="str">
        <f t="shared" ca="1" si="13"/>
        <v/>
      </c>
      <c r="CD15" s="13" t="str">
        <f t="shared" ca="1" si="13"/>
        <v/>
      </c>
      <c r="CE15" s="13" t="str">
        <f t="shared" ca="1" si="13"/>
        <v/>
      </c>
      <c r="CF15" s="13" t="str">
        <f t="shared" ca="1" si="13"/>
        <v/>
      </c>
      <c r="CG15" s="13" t="str">
        <f t="shared" ca="1" si="13"/>
        <v/>
      </c>
      <c r="CH15" s="13" t="str">
        <f t="shared" ca="1" si="13"/>
        <v/>
      </c>
      <c r="CI15" s="13" t="str">
        <f t="shared" ca="1" si="13"/>
        <v/>
      </c>
      <c r="CJ15" s="13" t="str">
        <f t="shared" ca="1" si="13"/>
        <v/>
      </c>
      <c r="CK15" s="13" t="str">
        <f t="shared" ca="1" si="13"/>
        <v/>
      </c>
      <c r="CL15" s="13" t="str">
        <f t="shared" ca="1" si="13"/>
        <v/>
      </c>
      <c r="CM15" s="13" t="str">
        <f t="shared" ca="1" si="14"/>
        <v/>
      </c>
      <c r="CN15" s="13" t="str">
        <f t="shared" ca="1" si="14"/>
        <v/>
      </c>
      <c r="CO15" s="13" t="str">
        <f t="shared" ca="1" si="14"/>
        <v/>
      </c>
      <c r="CP15" s="13" t="str">
        <f t="shared" ca="1" si="14"/>
        <v/>
      </c>
      <c r="CQ15" s="13" t="str">
        <f t="shared" ca="1" si="14"/>
        <v/>
      </c>
      <c r="CR15" s="13" t="str">
        <f t="shared" ca="1" si="14"/>
        <v/>
      </c>
      <c r="CS15" s="13" t="str">
        <f t="shared" ca="1" si="14"/>
        <v/>
      </c>
      <c r="CT15" s="13" t="str">
        <f t="shared" ca="1" si="14"/>
        <v/>
      </c>
      <c r="CU15" s="13" t="str">
        <f t="shared" ca="1" si="14"/>
        <v/>
      </c>
      <c r="CV15" s="13" t="str">
        <f t="shared" ca="1" si="14"/>
        <v/>
      </c>
      <c r="CW15" s="13" t="str">
        <f t="shared" ca="1" si="14"/>
        <v/>
      </c>
      <c r="CX15" s="13" t="str">
        <f t="shared" ca="1" si="14"/>
        <v/>
      </c>
      <c r="CY15" s="13" t="str">
        <f t="shared" ca="1" si="14"/>
        <v/>
      </c>
      <c r="CZ15" s="13" t="str">
        <f t="shared" ca="1" si="14"/>
        <v/>
      </c>
      <c r="DA15" s="13" t="str">
        <f t="shared" ca="1" si="14"/>
        <v/>
      </c>
      <c r="DB15" s="13" t="str">
        <f t="shared" ca="1" si="14"/>
        <v/>
      </c>
      <c r="DC15" s="13" t="str">
        <f t="shared" ca="1" si="14"/>
        <v/>
      </c>
      <c r="DD15" s="13" t="str">
        <f t="shared" ca="1" si="14"/>
        <v/>
      </c>
      <c r="DE15" s="13" t="str">
        <f t="shared" ca="1" si="14"/>
        <v/>
      </c>
      <c r="DF15" s="13" t="str">
        <f t="shared" ca="1" si="14"/>
        <v/>
      </c>
      <c r="DG15" s="13" t="str">
        <f t="shared" ca="1" si="14"/>
        <v/>
      </c>
      <c r="DH15" s="13" t="str">
        <f t="shared" ca="1" si="14"/>
        <v/>
      </c>
      <c r="DI15" s="13" t="str">
        <f t="shared" ca="1" si="14"/>
        <v/>
      </c>
      <c r="DJ15" s="13" t="str">
        <f t="shared" ca="1" si="14"/>
        <v/>
      </c>
      <c r="DK15" s="13" t="str">
        <f t="shared" ca="1" si="14"/>
        <v/>
      </c>
      <c r="DL15" s="13" t="str">
        <f t="shared" ca="1" si="14"/>
        <v/>
      </c>
      <c r="DM15" s="13" t="str">
        <f t="shared" ca="1" si="14"/>
        <v/>
      </c>
      <c r="DN15" s="13" t="str">
        <f t="shared" ca="1" si="14"/>
        <v/>
      </c>
      <c r="DO15" s="13" t="str">
        <f t="shared" ca="1" si="14"/>
        <v/>
      </c>
      <c r="DP15" s="13" t="str">
        <f t="shared" ca="1" si="14"/>
        <v/>
      </c>
      <c r="DQ15" s="13" t="str">
        <f t="shared" ca="1" si="14"/>
        <v/>
      </c>
      <c r="DR15" s="13" t="str">
        <f t="shared" ca="1" si="14"/>
        <v/>
      </c>
      <c r="DS15" s="13" t="str">
        <f t="shared" ca="1" si="14"/>
        <v/>
      </c>
      <c r="DT15" s="13" t="str">
        <f t="shared" ca="1" si="14"/>
        <v/>
      </c>
      <c r="DU15" s="13" t="str">
        <f t="shared" ca="1" si="14"/>
        <v/>
      </c>
      <c r="DV15" s="13" t="str">
        <f t="shared" ca="1" si="14"/>
        <v/>
      </c>
      <c r="DW15" s="13" t="str">
        <f t="shared" ca="1" si="14"/>
        <v/>
      </c>
      <c r="DX15" s="13" t="str">
        <f t="shared" ca="1" si="14"/>
        <v/>
      </c>
      <c r="DY15" s="13" t="str">
        <f t="shared" ca="1" si="14"/>
        <v/>
      </c>
      <c r="DZ15" s="13" t="str">
        <f t="shared" ca="1" si="14"/>
        <v/>
      </c>
      <c r="EA15" s="13" t="str">
        <f t="shared" ca="1" si="14"/>
        <v/>
      </c>
      <c r="EB15" s="13" t="str">
        <f t="shared" ca="1" si="14"/>
        <v/>
      </c>
      <c r="EC15" s="13" t="str">
        <f t="shared" ca="1" si="14"/>
        <v/>
      </c>
      <c r="ED15" s="13" t="str">
        <f t="shared" ca="1" si="14"/>
        <v/>
      </c>
      <c r="EE15" s="13" t="str">
        <f t="shared" ca="1" si="14"/>
        <v/>
      </c>
      <c r="EF15" s="13" t="str">
        <f t="shared" ca="1" si="14"/>
        <v/>
      </c>
      <c r="EG15" s="13" t="str">
        <f t="shared" ca="1" si="14"/>
        <v/>
      </c>
      <c r="EH15" s="13" t="str">
        <f t="shared" ca="1" si="14"/>
        <v/>
      </c>
      <c r="EI15" s="13" t="str">
        <f t="shared" ca="1" si="14"/>
        <v/>
      </c>
      <c r="EJ15" s="13" t="str">
        <f t="shared" ca="1" si="14"/>
        <v/>
      </c>
    </row>
    <row r="16" spans="1:141" s="1" customFormat="1" ht="40.15" customHeight="1" x14ac:dyDescent="0.25">
      <c r="A16" s="4"/>
      <c r="B16" s="52" t="s">
        <v>20</v>
      </c>
      <c r="C16" s="47" t="s">
        <v>10</v>
      </c>
      <c r="D16" s="47"/>
      <c r="E16" s="48">
        <v>0</v>
      </c>
      <c r="F16" s="49">
        <f>F12+1</f>
        <v>44347</v>
      </c>
      <c r="G16" s="50">
        <v>7</v>
      </c>
      <c r="H16" s="51"/>
      <c r="I16" s="13" t="str">
        <f t="shared" ca="1" si="15"/>
        <v/>
      </c>
      <c r="J16" s="13" t="str">
        <f t="shared" ca="1" si="9"/>
        <v/>
      </c>
      <c r="K16" s="13" t="str">
        <f t="shared" ca="1" si="9"/>
        <v/>
      </c>
      <c r="L16" s="13" t="str">
        <f t="shared" ca="1" si="9"/>
        <v/>
      </c>
      <c r="M16" s="13" t="str">
        <f t="shared" ca="1" si="9"/>
        <v/>
      </c>
      <c r="N16" s="13" t="str">
        <f t="shared" ca="1" si="9"/>
        <v/>
      </c>
      <c r="O16" s="13" t="str">
        <f t="shared" ca="1" si="9"/>
        <v/>
      </c>
      <c r="P16" s="13" t="str">
        <f t="shared" ca="1" si="9"/>
        <v/>
      </c>
      <c r="Q16" s="13" t="str">
        <f t="shared" ca="1" si="9"/>
        <v/>
      </c>
      <c r="R16" s="13" t="str">
        <f t="shared" ca="1" si="9"/>
        <v/>
      </c>
      <c r="S16" s="13" t="str">
        <f t="shared" ca="1" si="9"/>
        <v/>
      </c>
      <c r="T16" s="13" t="str">
        <f t="shared" ca="1" si="9"/>
        <v/>
      </c>
      <c r="U16" s="13" t="str">
        <f t="shared" ca="1" si="9"/>
        <v/>
      </c>
      <c r="V16" s="13" t="str">
        <f t="shared" ca="1" si="9"/>
        <v/>
      </c>
      <c r="W16" s="13" t="str">
        <f t="shared" ca="1" si="9"/>
        <v/>
      </c>
      <c r="X16" s="13" t="str">
        <f t="shared" ca="1" si="9"/>
        <v/>
      </c>
      <c r="Y16" s="13" t="str">
        <f t="shared" ca="1" si="10"/>
        <v/>
      </c>
      <c r="Z16" s="13" t="str">
        <f t="shared" ca="1" si="10"/>
        <v/>
      </c>
      <c r="AA16" s="13" t="str">
        <f t="shared" ca="1" si="10"/>
        <v/>
      </c>
      <c r="AB16" s="13" t="str">
        <f t="shared" ca="1" si="10"/>
        <v/>
      </c>
      <c r="AC16" s="13" t="str">
        <f t="shared" ca="1" si="10"/>
        <v/>
      </c>
      <c r="AD16" s="13" t="str">
        <f t="shared" ca="1" si="10"/>
        <v/>
      </c>
      <c r="AE16" s="13" t="str">
        <f t="shared" ca="1" si="10"/>
        <v/>
      </c>
      <c r="AF16" s="13" t="str">
        <f t="shared" ca="1" si="10"/>
        <v/>
      </c>
      <c r="AG16" s="13" t="str">
        <f t="shared" ca="1" si="10"/>
        <v/>
      </c>
      <c r="AH16" s="13" t="str">
        <f t="shared" ca="1" si="10"/>
        <v/>
      </c>
      <c r="AI16" s="13" t="str">
        <f t="shared" ca="1" si="10"/>
        <v/>
      </c>
      <c r="AJ16" s="13" t="str">
        <f t="shared" ca="1" si="10"/>
        <v/>
      </c>
      <c r="AK16" s="13" t="str">
        <f t="shared" ca="1" si="10"/>
        <v/>
      </c>
      <c r="AL16" s="13" t="str">
        <f t="shared" ca="1" si="10"/>
        <v/>
      </c>
      <c r="AM16" s="13" t="str">
        <f t="shared" ca="1" si="10"/>
        <v/>
      </c>
      <c r="AN16" s="13" t="str">
        <f t="shared" ca="1" si="10"/>
        <v/>
      </c>
      <c r="AO16" s="13" t="str">
        <f t="shared" ca="1" si="11"/>
        <v/>
      </c>
      <c r="AP16" s="13" t="str">
        <f t="shared" ca="1" si="11"/>
        <v/>
      </c>
      <c r="AQ16" s="13" t="str">
        <f t="shared" ca="1" si="11"/>
        <v/>
      </c>
      <c r="AR16" s="13" t="str">
        <f t="shared" ca="1" si="11"/>
        <v/>
      </c>
      <c r="AS16" s="13" t="str">
        <f t="shared" ca="1" si="11"/>
        <v/>
      </c>
      <c r="AT16" s="13" t="str">
        <f t="shared" ca="1" si="11"/>
        <v/>
      </c>
      <c r="AU16" s="13" t="str">
        <f t="shared" ca="1" si="11"/>
        <v/>
      </c>
      <c r="AV16" s="13" t="str">
        <f t="shared" ca="1" si="11"/>
        <v/>
      </c>
      <c r="AW16" s="13" t="str">
        <f t="shared" ca="1" si="11"/>
        <v/>
      </c>
      <c r="AX16" s="13" t="str">
        <f t="shared" ca="1" si="11"/>
        <v/>
      </c>
      <c r="AY16" s="13" t="str">
        <f t="shared" ca="1" si="11"/>
        <v/>
      </c>
      <c r="AZ16" s="13" t="str">
        <f t="shared" ca="1" si="11"/>
        <v/>
      </c>
      <c r="BA16" s="13" t="str">
        <f t="shared" ca="1" si="11"/>
        <v/>
      </c>
      <c r="BB16" s="13" t="str">
        <f t="shared" ca="1" si="11"/>
        <v/>
      </c>
      <c r="BC16" s="13" t="str">
        <f t="shared" ca="1" si="11"/>
        <v/>
      </c>
      <c r="BD16" s="13" t="str">
        <f t="shared" ca="1" si="11"/>
        <v/>
      </c>
      <c r="BE16" s="13" t="str">
        <f t="shared" ca="1" si="12"/>
        <v/>
      </c>
      <c r="BF16" s="13" t="str">
        <f t="shared" ca="1" si="12"/>
        <v/>
      </c>
      <c r="BG16" s="13" t="str">
        <f t="shared" ca="1" si="12"/>
        <v/>
      </c>
      <c r="BH16" s="13" t="str">
        <f t="shared" ca="1" si="12"/>
        <v/>
      </c>
      <c r="BI16" s="13" t="str">
        <f t="shared" ca="1" si="12"/>
        <v/>
      </c>
      <c r="BJ16" s="13" t="str">
        <f t="shared" ca="1" si="12"/>
        <v/>
      </c>
      <c r="BK16" s="13" t="str">
        <f t="shared" ca="1" si="12"/>
        <v/>
      </c>
      <c r="BL16" s="13" t="str">
        <f t="shared" ca="1" si="12"/>
        <v/>
      </c>
      <c r="BM16" s="13" t="str">
        <f t="shared" ca="1" si="12"/>
        <v/>
      </c>
      <c r="BN16" s="13" t="str">
        <f t="shared" ca="1" si="12"/>
        <v/>
      </c>
      <c r="BO16" s="13" t="str">
        <f t="shared" ca="1" si="12"/>
        <v/>
      </c>
      <c r="BP16" s="13" t="str">
        <f t="shared" ca="1" si="12"/>
        <v/>
      </c>
      <c r="BQ16" s="13" t="str">
        <f t="shared" ca="1" si="12"/>
        <v/>
      </c>
      <c r="BR16" s="13" t="str">
        <f t="shared" ca="1" si="12"/>
        <v/>
      </c>
      <c r="BS16" s="13" t="str">
        <f t="shared" ca="1" si="13"/>
        <v/>
      </c>
      <c r="BT16" s="13" t="str">
        <f t="shared" ca="1" si="13"/>
        <v/>
      </c>
      <c r="BU16" s="13" t="str">
        <f t="shared" ca="1" si="13"/>
        <v/>
      </c>
      <c r="BV16" s="13" t="str">
        <f t="shared" ca="1" si="13"/>
        <v/>
      </c>
      <c r="BW16" s="13" t="str">
        <f t="shared" ca="1" si="13"/>
        <v/>
      </c>
      <c r="BX16" s="13" t="str">
        <f t="shared" ca="1" si="13"/>
        <v/>
      </c>
      <c r="BY16" s="13" t="str">
        <f t="shared" ca="1" si="13"/>
        <v/>
      </c>
      <c r="BZ16" s="13" t="str">
        <f t="shared" ca="1" si="13"/>
        <v/>
      </c>
      <c r="CA16" s="13" t="str">
        <f t="shared" ca="1" si="13"/>
        <v/>
      </c>
      <c r="CB16" s="13" t="str">
        <f t="shared" ca="1" si="13"/>
        <v/>
      </c>
      <c r="CC16" s="13" t="str">
        <f t="shared" ca="1" si="13"/>
        <v/>
      </c>
      <c r="CD16" s="13" t="str">
        <f t="shared" ca="1" si="13"/>
        <v/>
      </c>
      <c r="CE16" s="13" t="str">
        <f t="shared" ca="1" si="13"/>
        <v/>
      </c>
      <c r="CF16" s="13" t="str">
        <f t="shared" ca="1" si="13"/>
        <v/>
      </c>
      <c r="CG16" s="13" t="str">
        <f t="shared" ca="1" si="13"/>
        <v/>
      </c>
      <c r="CH16" s="13" t="str">
        <f t="shared" ca="1" si="13"/>
        <v/>
      </c>
      <c r="CI16" s="13" t="str">
        <f t="shared" ca="1" si="13"/>
        <v/>
      </c>
      <c r="CJ16" s="13" t="str">
        <f t="shared" ca="1" si="13"/>
        <v/>
      </c>
      <c r="CK16" s="13" t="str">
        <f t="shared" ca="1" si="13"/>
        <v/>
      </c>
      <c r="CL16" s="13" t="str">
        <f t="shared" ca="1" si="13"/>
        <v/>
      </c>
      <c r="CM16" s="13" t="str">
        <f t="shared" ca="1" si="14"/>
        <v/>
      </c>
      <c r="CN16" s="13" t="str">
        <f t="shared" ca="1" si="14"/>
        <v/>
      </c>
      <c r="CO16" s="13" t="str">
        <f t="shared" ca="1" si="14"/>
        <v/>
      </c>
      <c r="CP16" s="13" t="str">
        <f t="shared" ca="1" si="14"/>
        <v/>
      </c>
      <c r="CQ16" s="13" t="str">
        <f t="shared" ca="1" si="14"/>
        <v/>
      </c>
      <c r="CR16" s="13" t="str">
        <f t="shared" ref="CM16:EJ21" ca="1" si="16">IF(AND($C16="目標",CR$7&gt;=$F16,CR$7&lt;=$F16+$G16-1),2,IF(AND($C16="マイルストーン",CR$7&gt;=$F16,CR$7&lt;=$F16+$G16-1),1,""))</f>
        <v/>
      </c>
      <c r="CS16" s="13" t="str">
        <f t="shared" ca="1" si="16"/>
        <v/>
      </c>
      <c r="CT16" s="13" t="str">
        <f t="shared" ca="1" si="16"/>
        <v/>
      </c>
      <c r="CU16" s="13" t="str">
        <f t="shared" ca="1" si="16"/>
        <v/>
      </c>
      <c r="CV16" s="13" t="str">
        <f t="shared" ca="1" si="16"/>
        <v/>
      </c>
      <c r="CW16" s="13" t="str">
        <f t="shared" ca="1" si="16"/>
        <v/>
      </c>
      <c r="CX16" s="13" t="str">
        <f t="shared" ca="1" si="16"/>
        <v/>
      </c>
      <c r="CY16" s="13" t="str">
        <f t="shared" ca="1" si="16"/>
        <v/>
      </c>
      <c r="CZ16" s="13" t="str">
        <f t="shared" ca="1" si="16"/>
        <v/>
      </c>
      <c r="DA16" s="13" t="str">
        <f t="shared" ca="1" si="16"/>
        <v/>
      </c>
      <c r="DB16" s="13" t="str">
        <f t="shared" ca="1" si="16"/>
        <v/>
      </c>
      <c r="DC16" s="13" t="str">
        <f t="shared" ca="1" si="16"/>
        <v/>
      </c>
      <c r="DD16" s="13" t="str">
        <f t="shared" ca="1" si="16"/>
        <v/>
      </c>
      <c r="DE16" s="13" t="str">
        <f t="shared" ca="1" si="16"/>
        <v/>
      </c>
      <c r="DF16" s="13" t="str">
        <f t="shared" ca="1" si="16"/>
        <v/>
      </c>
      <c r="DG16" s="13" t="str">
        <f t="shared" ca="1" si="16"/>
        <v/>
      </c>
      <c r="DH16" s="13" t="str">
        <f t="shared" ca="1" si="16"/>
        <v/>
      </c>
      <c r="DI16" s="13" t="str">
        <f t="shared" ca="1" si="16"/>
        <v/>
      </c>
      <c r="DJ16" s="13" t="str">
        <f t="shared" ca="1" si="16"/>
        <v/>
      </c>
      <c r="DK16" s="13" t="str">
        <f t="shared" ca="1" si="16"/>
        <v/>
      </c>
      <c r="DL16" s="13" t="str">
        <f t="shared" ca="1" si="16"/>
        <v/>
      </c>
      <c r="DM16" s="13" t="str">
        <f t="shared" ca="1" si="16"/>
        <v/>
      </c>
      <c r="DN16" s="13" t="str">
        <f t="shared" ca="1" si="16"/>
        <v/>
      </c>
      <c r="DO16" s="13" t="str">
        <f t="shared" ca="1" si="16"/>
        <v/>
      </c>
      <c r="DP16" s="13" t="str">
        <f t="shared" ca="1" si="16"/>
        <v/>
      </c>
      <c r="DQ16" s="13" t="str">
        <f t="shared" ca="1" si="16"/>
        <v/>
      </c>
      <c r="DR16" s="13" t="str">
        <f t="shared" ca="1" si="16"/>
        <v/>
      </c>
      <c r="DS16" s="13" t="str">
        <f t="shared" ca="1" si="16"/>
        <v/>
      </c>
      <c r="DT16" s="13" t="str">
        <f t="shared" ca="1" si="16"/>
        <v/>
      </c>
      <c r="DU16" s="13" t="str">
        <f t="shared" ca="1" si="16"/>
        <v/>
      </c>
      <c r="DV16" s="13" t="str">
        <f t="shared" ca="1" si="16"/>
        <v/>
      </c>
      <c r="DW16" s="13" t="str">
        <f t="shared" ca="1" si="16"/>
        <v/>
      </c>
      <c r="DX16" s="13" t="str">
        <f t="shared" ca="1" si="16"/>
        <v/>
      </c>
      <c r="DY16" s="13" t="str">
        <f t="shared" ca="1" si="16"/>
        <v/>
      </c>
      <c r="DZ16" s="13" t="str">
        <f t="shared" ca="1" si="16"/>
        <v/>
      </c>
      <c r="EA16" s="13" t="str">
        <f t="shared" ca="1" si="16"/>
        <v/>
      </c>
      <c r="EB16" s="13" t="str">
        <f t="shared" ca="1" si="16"/>
        <v/>
      </c>
      <c r="EC16" s="13" t="str">
        <f t="shared" ca="1" si="16"/>
        <v/>
      </c>
      <c r="ED16" s="13" t="str">
        <f t="shared" ca="1" si="16"/>
        <v/>
      </c>
      <c r="EE16" s="13" t="str">
        <f t="shared" ca="1" si="16"/>
        <v/>
      </c>
      <c r="EF16" s="13" t="str">
        <f t="shared" ca="1" si="16"/>
        <v/>
      </c>
      <c r="EG16" s="13" t="str">
        <f t="shared" ca="1" si="16"/>
        <v/>
      </c>
      <c r="EH16" s="13" t="str">
        <f t="shared" ca="1" si="16"/>
        <v/>
      </c>
      <c r="EI16" s="13" t="str">
        <f t="shared" ca="1" si="16"/>
        <v/>
      </c>
      <c r="EJ16" s="13" t="str">
        <f t="shared" ca="1" si="16"/>
        <v/>
      </c>
    </row>
    <row r="17" spans="1:140" s="1" customFormat="1" ht="52.5" customHeight="1" x14ac:dyDescent="0.25">
      <c r="A17" s="4"/>
      <c r="B17" s="46" t="s">
        <v>27</v>
      </c>
      <c r="C17" s="47"/>
      <c r="D17" s="71"/>
      <c r="E17" s="48"/>
      <c r="F17" s="49"/>
      <c r="G17" s="50"/>
      <c r="H17" s="51"/>
      <c r="I17" s="13" t="str">
        <f t="shared" ca="1" si="15"/>
        <v/>
      </c>
      <c r="J17" s="13" t="str">
        <f t="shared" ca="1" si="9"/>
        <v/>
      </c>
      <c r="K17" s="13" t="str">
        <f t="shared" ca="1" si="9"/>
        <v/>
      </c>
      <c r="L17" s="13" t="str">
        <f t="shared" ca="1" si="9"/>
        <v/>
      </c>
      <c r="M17" s="13" t="str">
        <f t="shared" ca="1" si="9"/>
        <v/>
      </c>
      <c r="N17" s="13" t="str">
        <f t="shared" ca="1" si="9"/>
        <v/>
      </c>
      <c r="O17" s="13" t="str">
        <f t="shared" ca="1" si="9"/>
        <v/>
      </c>
      <c r="P17" s="13" t="str">
        <f t="shared" ca="1" si="9"/>
        <v/>
      </c>
      <c r="Q17" s="13" t="str">
        <f t="shared" ca="1" si="9"/>
        <v/>
      </c>
      <c r="R17" s="13" t="str">
        <f t="shared" ca="1" si="9"/>
        <v/>
      </c>
      <c r="S17" s="13" t="str">
        <f t="shared" ca="1" si="9"/>
        <v/>
      </c>
      <c r="T17" s="13" t="str">
        <f t="shared" ca="1" si="9"/>
        <v/>
      </c>
      <c r="U17" s="13" t="str">
        <f t="shared" ca="1" si="9"/>
        <v/>
      </c>
      <c r="V17" s="13" t="str">
        <f t="shared" ca="1" si="9"/>
        <v/>
      </c>
      <c r="W17" s="13" t="str">
        <f t="shared" ca="1" si="9"/>
        <v/>
      </c>
      <c r="X17" s="13" t="str">
        <f t="shared" ca="1" si="9"/>
        <v/>
      </c>
      <c r="Y17" s="13" t="str">
        <f t="shared" ca="1" si="10"/>
        <v/>
      </c>
      <c r="Z17" s="13" t="str">
        <f t="shared" ca="1" si="10"/>
        <v/>
      </c>
      <c r="AA17" s="13" t="str">
        <f t="shared" ca="1" si="10"/>
        <v/>
      </c>
      <c r="AB17" s="13" t="str">
        <f t="shared" ca="1" si="10"/>
        <v/>
      </c>
      <c r="AC17" s="13" t="str">
        <f t="shared" ca="1" si="10"/>
        <v/>
      </c>
      <c r="AD17" s="13" t="str">
        <f t="shared" ca="1" si="10"/>
        <v/>
      </c>
      <c r="AE17" s="13" t="str">
        <f t="shared" ca="1" si="10"/>
        <v/>
      </c>
      <c r="AF17" s="13" t="str">
        <f t="shared" ca="1" si="10"/>
        <v/>
      </c>
      <c r="AG17" s="13" t="str">
        <f t="shared" ca="1" si="10"/>
        <v/>
      </c>
      <c r="AH17" s="13" t="str">
        <f t="shared" ca="1" si="10"/>
        <v/>
      </c>
      <c r="AI17" s="13" t="str">
        <f t="shared" ca="1" si="10"/>
        <v/>
      </c>
      <c r="AJ17" s="13" t="str">
        <f t="shared" ca="1" si="10"/>
        <v/>
      </c>
      <c r="AK17" s="13" t="str">
        <f t="shared" ca="1" si="10"/>
        <v/>
      </c>
      <c r="AL17" s="13" t="str">
        <f t="shared" ca="1" si="10"/>
        <v/>
      </c>
      <c r="AM17" s="13" t="str">
        <f t="shared" ca="1" si="10"/>
        <v/>
      </c>
      <c r="AN17" s="13" t="str">
        <f t="shared" ca="1" si="10"/>
        <v/>
      </c>
      <c r="AO17" s="13" t="str">
        <f t="shared" ca="1" si="11"/>
        <v/>
      </c>
      <c r="AP17" s="13" t="str">
        <f t="shared" ca="1" si="11"/>
        <v/>
      </c>
      <c r="AQ17" s="13" t="str">
        <f t="shared" ca="1" si="11"/>
        <v/>
      </c>
      <c r="AR17" s="13" t="str">
        <f t="shared" ca="1" si="11"/>
        <v/>
      </c>
      <c r="AS17" s="13" t="str">
        <f t="shared" ca="1" si="11"/>
        <v/>
      </c>
      <c r="AT17" s="13" t="str">
        <f t="shared" ca="1" si="11"/>
        <v/>
      </c>
      <c r="AU17" s="13" t="str">
        <f t="shared" ca="1" si="11"/>
        <v/>
      </c>
      <c r="AV17" s="13" t="str">
        <f t="shared" ca="1" si="11"/>
        <v/>
      </c>
      <c r="AW17" s="13" t="str">
        <f t="shared" ca="1" si="11"/>
        <v/>
      </c>
      <c r="AX17" s="13" t="str">
        <f t="shared" ca="1" si="11"/>
        <v/>
      </c>
      <c r="AY17" s="13" t="str">
        <f t="shared" ca="1" si="11"/>
        <v/>
      </c>
      <c r="AZ17" s="13" t="str">
        <f t="shared" ca="1" si="11"/>
        <v/>
      </c>
      <c r="BA17" s="13" t="str">
        <f t="shared" ca="1" si="11"/>
        <v/>
      </c>
      <c r="BB17" s="13" t="str">
        <f t="shared" ca="1" si="11"/>
        <v/>
      </c>
      <c r="BC17" s="13" t="str">
        <f t="shared" ca="1" si="11"/>
        <v/>
      </c>
      <c r="BD17" s="13" t="str">
        <f t="shared" ca="1" si="11"/>
        <v/>
      </c>
      <c r="BE17" s="13" t="str">
        <f t="shared" ca="1" si="12"/>
        <v/>
      </c>
      <c r="BF17" s="13" t="str">
        <f t="shared" ca="1" si="12"/>
        <v/>
      </c>
      <c r="BG17" s="13" t="str">
        <f t="shared" ca="1" si="12"/>
        <v/>
      </c>
      <c r="BH17" s="13" t="str">
        <f t="shared" ca="1" si="12"/>
        <v/>
      </c>
      <c r="BI17" s="13" t="str">
        <f t="shared" ca="1" si="12"/>
        <v/>
      </c>
      <c r="BJ17" s="13" t="str">
        <f t="shared" ca="1" si="12"/>
        <v/>
      </c>
      <c r="BK17" s="13" t="str">
        <f t="shared" ca="1" si="12"/>
        <v/>
      </c>
      <c r="BL17" s="13" t="str">
        <f t="shared" ca="1" si="12"/>
        <v/>
      </c>
      <c r="BM17" s="13" t="str">
        <f t="shared" ca="1" si="12"/>
        <v/>
      </c>
      <c r="BN17" s="13" t="str">
        <f t="shared" ca="1" si="12"/>
        <v/>
      </c>
      <c r="BO17" s="13" t="str">
        <f t="shared" ca="1" si="12"/>
        <v/>
      </c>
      <c r="BP17" s="13" t="str">
        <f t="shared" ca="1" si="12"/>
        <v/>
      </c>
      <c r="BQ17" s="13" t="str">
        <f t="shared" ca="1" si="12"/>
        <v/>
      </c>
      <c r="BR17" s="13" t="str">
        <f t="shared" ca="1" si="12"/>
        <v/>
      </c>
      <c r="BS17" s="13" t="str">
        <f t="shared" ca="1" si="13"/>
        <v/>
      </c>
      <c r="BT17" s="13" t="str">
        <f t="shared" ca="1" si="13"/>
        <v/>
      </c>
      <c r="BU17" s="13" t="str">
        <f t="shared" ca="1" si="13"/>
        <v/>
      </c>
      <c r="BV17" s="13" t="str">
        <f t="shared" ca="1" si="13"/>
        <v/>
      </c>
      <c r="BW17" s="13" t="str">
        <f t="shared" ca="1" si="13"/>
        <v/>
      </c>
      <c r="BX17" s="13" t="str">
        <f t="shared" ca="1" si="13"/>
        <v/>
      </c>
      <c r="BY17" s="13" t="str">
        <f t="shared" ca="1" si="13"/>
        <v/>
      </c>
      <c r="BZ17" s="13" t="str">
        <f t="shared" ca="1" si="13"/>
        <v/>
      </c>
      <c r="CA17" s="13" t="str">
        <f t="shared" ca="1" si="13"/>
        <v/>
      </c>
      <c r="CB17" s="13" t="str">
        <f t="shared" ca="1" si="13"/>
        <v/>
      </c>
      <c r="CC17" s="13" t="str">
        <f t="shared" ca="1" si="13"/>
        <v/>
      </c>
      <c r="CD17" s="13" t="str">
        <f t="shared" ca="1" si="13"/>
        <v/>
      </c>
      <c r="CE17" s="13" t="str">
        <f t="shared" ca="1" si="13"/>
        <v/>
      </c>
      <c r="CF17" s="13" t="str">
        <f t="shared" ca="1" si="13"/>
        <v/>
      </c>
      <c r="CG17" s="13" t="str">
        <f t="shared" ca="1" si="13"/>
        <v/>
      </c>
      <c r="CH17" s="13" t="str">
        <f t="shared" ca="1" si="13"/>
        <v/>
      </c>
      <c r="CI17" s="13" t="str">
        <f t="shared" ca="1" si="13"/>
        <v/>
      </c>
      <c r="CJ17" s="13" t="str">
        <f t="shared" ca="1" si="13"/>
        <v/>
      </c>
      <c r="CK17" s="13" t="str">
        <f t="shared" ca="1" si="13"/>
        <v/>
      </c>
      <c r="CL17" s="13" t="str">
        <f t="shared" ca="1" si="13"/>
        <v/>
      </c>
      <c r="CM17" s="13" t="str">
        <f t="shared" ca="1" si="16"/>
        <v/>
      </c>
      <c r="CN17" s="13" t="str">
        <f t="shared" ca="1" si="16"/>
        <v/>
      </c>
      <c r="CO17" s="13" t="str">
        <f t="shared" ca="1" si="16"/>
        <v/>
      </c>
      <c r="CP17" s="13" t="str">
        <f t="shared" ca="1" si="16"/>
        <v/>
      </c>
      <c r="CQ17" s="13" t="str">
        <f t="shared" ca="1" si="16"/>
        <v/>
      </c>
      <c r="CR17" s="13" t="str">
        <f t="shared" ca="1" si="16"/>
        <v/>
      </c>
      <c r="CS17" s="13" t="str">
        <f t="shared" ca="1" si="16"/>
        <v/>
      </c>
      <c r="CT17" s="13" t="str">
        <f t="shared" ca="1" si="16"/>
        <v/>
      </c>
      <c r="CU17" s="13" t="str">
        <f t="shared" ca="1" si="16"/>
        <v/>
      </c>
      <c r="CV17" s="13" t="str">
        <f t="shared" ca="1" si="16"/>
        <v/>
      </c>
      <c r="CW17" s="13" t="str">
        <f t="shared" ca="1" si="16"/>
        <v/>
      </c>
      <c r="CX17" s="13" t="str">
        <f t="shared" ca="1" si="16"/>
        <v/>
      </c>
      <c r="CY17" s="13" t="str">
        <f t="shared" ca="1" si="16"/>
        <v/>
      </c>
      <c r="CZ17" s="13" t="str">
        <f t="shared" ca="1" si="16"/>
        <v/>
      </c>
      <c r="DA17" s="13" t="str">
        <f t="shared" ca="1" si="16"/>
        <v/>
      </c>
      <c r="DB17" s="13" t="str">
        <f t="shared" ca="1" si="16"/>
        <v/>
      </c>
      <c r="DC17" s="13" t="str">
        <f t="shared" ca="1" si="16"/>
        <v/>
      </c>
      <c r="DD17" s="13" t="str">
        <f t="shared" ca="1" si="16"/>
        <v/>
      </c>
      <c r="DE17" s="13" t="str">
        <f t="shared" ca="1" si="16"/>
        <v/>
      </c>
      <c r="DF17" s="13" t="str">
        <f t="shared" ca="1" si="16"/>
        <v/>
      </c>
      <c r="DG17" s="13" t="str">
        <f t="shared" ca="1" si="16"/>
        <v/>
      </c>
      <c r="DH17" s="13" t="str">
        <f t="shared" ca="1" si="16"/>
        <v/>
      </c>
      <c r="DI17" s="13" t="str">
        <f t="shared" ca="1" si="16"/>
        <v/>
      </c>
      <c r="DJ17" s="13" t="str">
        <f t="shared" ca="1" si="16"/>
        <v/>
      </c>
      <c r="DK17" s="13" t="str">
        <f t="shared" ca="1" si="16"/>
        <v/>
      </c>
      <c r="DL17" s="13" t="str">
        <f t="shared" ca="1" si="16"/>
        <v/>
      </c>
      <c r="DM17" s="13" t="str">
        <f t="shared" ca="1" si="16"/>
        <v/>
      </c>
      <c r="DN17" s="13" t="str">
        <f t="shared" ca="1" si="16"/>
        <v/>
      </c>
      <c r="DO17" s="13" t="str">
        <f t="shared" ca="1" si="16"/>
        <v/>
      </c>
      <c r="DP17" s="13" t="str">
        <f t="shared" ca="1" si="16"/>
        <v/>
      </c>
      <c r="DQ17" s="13" t="str">
        <f t="shared" ca="1" si="16"/>
        <v/>
      </c>
      <c r="DR17" s="13" t="str">
        <f t="shared" ca="1" si="16"/>
        <v/>
      </c>
      <c r="DS17" s="13" t="str">
        <f t="shared" ca="1" si="16"/>
        <v/>
      </c>
      <c r="DT17" s="13" t="str">
        <f t="shared" ca="1" si="16"/>
        <v/>
      </c>
      <c r="DU17" s="13" t="str">
        <f t="shared" ca="1" si="16"/>
        <v/>
      </c>
      <c r="DV17" s="13" t="str">
        <f t="shared" ca="1" si="16"/>
        <v/>
      </c>
      <c r="DW17" s="13" t="str">
        <f t="shared" ca="1" si="16"/>
        <v/>
      </c>
      <c r="DX17" s="13" t="str">
        <f t="shared" ca="1" si="16"/>
        <v/>
      </c>
      <c r="DY17" s="13" t="str">
        <f t="shared" ca="1" si="16"/>
        <v/>
      </c>
      <c r="DZ17" s="13" t="str">
        <f t="shared" ca="1" si="16"/>
        <v/>
      </c>
      <c r="EA17" s="13" t="str">
        <f t="shared" ca="1" si="16"/>
        <v/>
      </c>
      <c r="EB17" s="13" t="str">
        <f t="shared" ca="1" si="16"/>
        <v/>
      </c>
      <c r="EC17" s="13" t="str">
        <f t="shared" ca="1" si="16"/>
        <v/>
      </c>
      <c r="ED17" s="13" t="str">
        <f t="shared" ca="1" si="16"/>
        <v/>
      </c>
      <c r="EE17" s="13" t="str">
        <f t="shared" ca="1" si="16"/>
        <v/>
      </c>
      <c r="EF17" s="13" t="str">
        <f t="shared" ca="1" si="16"/>
        <v/>
      </c>
      <c r="EG17" s="13" t="str">
        <f t="shared" ca="1" si="16"/>
        <v/>
      </c>
      <c r="EH17" s="13" t="str">
        <f t="shared" ca="1" si="16"/>
        <v/>
      </c>
      <c r="EI17" s="13" t="str">
        <f t="shared" ca="1" si="16"/>
        <v/>
      </c>
      <c r="EJ17" s="13" t="str">
        <f t="shared" ca="1" si="16"/>
        <v/>
      </c>
    </row>
    <row r="18" spans="1:140" s="1" customFormat="1" ht="54.75" customHeight="1" x14ac:dyDescent="0.25">
      <c r="A18" s="4"/>
      <c r="B18" s="52" t="s">
        <v>19</v>
      </c>
      <c r="C18" s="47" t="s">
        <v>6</v>
      </c>
      <c r="D18" s="71" t="s">
        <v>28</v>
      </c>
      <c r="E18" s="48" t="s">
        <v>25</v>
      </c>
      <c r="F18" s="49">
        <f>F15+7</f>
        <v>44360</v>
      </c>
      <c r="G18" s="50">
        <v>1</v>
      </c>
      <c r="H18" s="51"/>
      <c r="I18" s="13" t="str">
        <f t="shared" ca="1" si="15"/>
        <v/>
      </c>
      <c r="J18" s="13" t="str">
        <f t="shared" ca="1" si="9"/>
        <v/>
      </c>
      <c r="K18" s="13" t="str">
        <f t="shared" ca="1" si="9"/>
        <v/>
      </c>
      <c r="L18" s="13" t="str">
        <f t="shared" ca="1" si="9"/>
        <v/>
      </c>
      <c r="M18" s="13" t="str">
        <f t="shared" ca="1" si="9"/>
        <v/>
      </c>
      <c r="N18" s="13" t="str">
        <f t="shared" ca="1" si="9"/>
        <v/>
      </c>
      <c r="O18" s="13" t="str">
        <f t="shared" ca="1" si="9"/>
        <v/>
      </c>
      <c r="P18" s="13" t="str">
        <f t="shared" ca="1" si="9"/>
        <v/>
      </c>
      <c r="Q18" s="13" t="str">
        <f t="shared" ca="1" si="9"/>
        <v/>
      </c>
      <c r="R18" s="13" t="str">
        <f t="shared" ca="1" si="9"/>
        <v/>
      </c>
      <c r="S18" s="13" t="str">
        <f t="shared" ca="1" si="9"/>
        <v/>
      </c>
      <c r="T18" s="13" t="str">
        <f t="shared" ca="1" si="9"/>
        <v/>
      </c>
      <c r="U18" s="13" t="str">
        <f t="shared" ca="1" si="9"/>
        <v/>
      </c>
      <c r="V18" s="13" t="str">
        <f t="shared" ca="1" si="9"/>
        <v/>
      </c>
      <c r="W18" s="13" t="str">
        <f t="shared" ca="1" si="9"/>
        <v/>
      </c>
      <c r="X18" s="13" t="str">
        <f t="shared" ca="1" si="9"/>
        <v/>
      </c>
      <c r="Y18" s="13" t="str">
        <f t="shared" ca="1" si="10"/>
        <v/>
      </c>
      <c r="Z18" s="13" t="str">
        <f t="shared" ca="1" si="10"/>
        <v/>
      </c>
      <c r="AA18" s="13" t="str">
        <f t="shared" ca="1" si="10"/>
        <v/>
      </c>
      <c r="AB18" s="13" t="str">
        <f t="shared" ca="1" si="10"/>
        <v/>
      </c>
      <c r="AC18" s="13" t="str">
        <f t="shared" ca="1" si="10"/>
        <v/>
      </c>
      <c r="AD18" s="13">
        <f t="shared" ca="1" si="10"/>
        <v>1</v>
      </c>
      <c r="AE18" s="13" t="str">
        <f t="shared" ca="1" si="10"/>
        <v/>
      </c>
      <c r="AF18" s="13" t="str">
        <f t="shared" ca="1" si="10"/>
        <v/>
      </c>
      <c r="AG18" s="13" t="str">
        <f t="shared" ca="1" si="10"/>
        <v/>
      </c>
      <c r="AH18" s="13" t="str">
        <f t="shared" ca="1" si="10"/>
        <v/>
      </c>
      <c r="AI18" s="13" t="str">
        <f t="shared" ca="1" si="10"/>
        <v/>
      </c>
      <c r="AJ18" s="13" t="str">
        <f t="shared" ca="1" si="10"/>
        <v/>
      </c>
      <c r="AK18" s="13" t="str">
        <f t="shared" ca="1" si="10"/>
        <v/>
      </c>
      <c r="AL18" s="13" t="str">
        <f t="shared" ca="1" si="10"/>
        <v/>
      </c>
      <c r="AM18" s="13" t="str">
        <f t="shared" ca="1" si="10"/>
        <v/>
      </c>
      <c r="AN18" s="13" t="str">
        <f t="shared" ca="1" si="10"/>
        <v/>
      </c>
      <c r="AO18" s="13" t="str">
        <f t="shared" ca="1" si="11"/>
        <v/>
      </c>
      <c r="AP18" s="13" t="str">
        <f t="shared" ca="1" si="11"/>
        <v/>
      </c>
      <c r="AQ18" s="13" t="str">
        <f t="shared" ca="1" si="11"/>
        <v/>
      </c>
      <c r="AR18" s="13" t="str">
        <f t="shared" ca="1" si="11"/>
        <v/>
      </c>
      <c r="AS18" s="13" t="str">
        <f t="shared" ca="1" si="11"/>
        <v/>
      </c>
      <c r="AT18" s="13" t="str">
        <f t="shared" ca="1" si="11"/>
        <v/>
      </c>
      <c r="AU18" s="13" t="str">
        <f t="shared" ca="1" si="11"/>
        <v/>
      </c>
      <c r="AV18" s="13" t="str">
        <f t="shared" ca="1" si="11"/>
        <v/>
      </c>
      <c r="AW18" s="13" t="str">
        <f t="shared" ca="1" si="11"/>
        <v/>
      </c>
      <c r="AX18" s="13" t="str">
        <f t="shared" ca="1" si="11"/>
        <v/>
      </c>
      <c r="AY18" s="13" t="str">
        <f t="shared" ca="1" si="11"/>
        <v/>
      </c>
      <c r="AZ18" s="13" t="str">
        <f t="shared" ca="1" si="11"/>
        <v/>
      </c>
      <c r="BA18" s="13" t="str">
        <f t="shared" ca="1" si="11"/>
        <v/>
      </c>
      <c r="BB18" s="13" t="str">
        <f t="shared" ca="1" si="11"/>
        <v/>
      </c>
      <c r="BC18" s="13" t="str">
        <f t="shared" ca="1" si="11"/>
        <v/>
      </c>
      <c r="BD18" s="13" t="str">
        <f t="shared" ca="1" si="11"/>
        <v/>
      </c>
      <c r="BE18" s="13" t="str">
        <f t="shared" ca="1" si="12"/>
        <v/>
      </c>
      <c r="BF18" s="13" t="str">
        <f t="shared" ca="1" si="12"/>
        <v/>
      </c>
      <c r="BG18" s="13" t="str">
        <f t="shared" ca="1" si="12"/>
        <v/>
      </c>
      <c r="BH18" s="13" t="str">
        <f t="shared" ca="1" si="12"/>
        <v/>
      </c>
      <c r="BI18" s="13" t="str">
        <f t="shared" ca="1" si="12"/>
        <v/>
      </c>
      <c r="BJ18" s="13" t="str">
        <f t="shared" ca="1" si="12"/>
        <v/>
      </c>
      <c r="BK18" s="13" t="str">
        <f t="shared" ca="1" si="12"/>
        <v/>
      </c>
      <c r="BL18" s="13" t="str">
        <f t="shared" ca="1" si="12"/>
        <v/>
      </c>
      <c r="BM18" s="13" t="str">
        <f t="shared" ca="1" si="12"/>
        <v/>
      </c>
      <c r="BN18" s="13" t="str">
        <f t="shared" ca="1" si="12"/>
        <v/>
      </c>
      <c r="BO18" s="13" t="str">
        <f t="shared" ca="1" si="12"/>
        <v/>
      </c>
      <c r="BP18" s="13" t="str">
        <f t="shared" ca="1" si="12"/>
        <v/>
      </c>
      <c r="BQ18" s="13" t="str">
        <f t="shared" ca="1" si="12"/>
        <v/>
      </c>
      <c r="BR18" s="13" t="str">
        <f t="shared" ca="1" si="12"/>
        <v/>
      </c>
      <c r="BS18" s="13" t="str">
        <f t="shared" ca="1" si="13"/>
        <v/>
      </c>
      <c r="BT18" s="13" t="str">
        <f t="shared" ca="1" si="13"/>
        <v/>
      </c>
      <c r="BU18" s="13" t="str">
        <f t="shared" ca="1" si="13"/>
        <v/>
      </c>
      <c r="BV18" s="13" t="str">
        <f t="shared" ca="1" si="13"/>
        <v/>
      </c>
      <c r="BW18" s="13" t="str">
        <f t="shared" ca="1" si="13"/>
        <v/>
      </c>
      <c r="BX18" s="13" t="str">
        <f t="shared" ca="1" si="13"/>
        <v/>
      </c>
      <c r="BY18" s="13" t="str">
        <f t="shared" ca="1" si="13"/>
        <v/>
      </c>
      <c r="BZ18" s="13" t="str">
        <f t="shared" ca="1" si="13"/>
        <v/>
      </c>
      <c r="CA18" s="13" t="str">
        <f t="shared" ca="1" si="13"/>
        <v/>
      </c>
      <c r="CB18" s="13" t="str">
        <f t="shared" ca="1" si="13"/>
        <v/>
      </c>
      <c r="CC18" s="13" t="str">
        <f t="shared" ca="1" si="13"/>
        <v/>
      </c>
      <c r="CD18" s="13" t="str">
        <f t="shared" ca="1" si="13"/>
        <v/>
      </c>
      <c r="CE18" s="13" t="str">
        <f t="shared" ca="1" si="13"/>
        <v/>
      </c>
      <c r="CF18" s="13" t="str">
        <f t="shared" ca="1" si="13"/>
        <v/>
      </c>
      <c r="CG18" s="13" t="str">
        <f t="shared" ca="1" si="13"/>
        <v/>
      </c>
      <c r="CH18" s="13" t="str">
        <f t="shared" ca="1" si="13"/>
        <v/>
      </c>
      <c r="CI18" s="13" t="str">
        <f t="shared" ca="1" si="13"/>
        <v/>
      </c>
      <c r="CJ18" s="13" t="str">
        <f t="shared" ca="1" si="13"/>
        <v/>
      </c>
      <c r="CK18" s="13" t="str">
        <f t="shared" ca="1" si="13"/>
        <v/>
      </c>
      <c r="CL18" s="13" t="str">
        <f t="shared" ca="1" si="13"/>
        <v/>
      </c>
      <c r="CM18" s="13" t="str">
        <f t="shared" ca="1" si="16"/>
        <v/>
      </c>
      <c r="CN18" s="13" t="str">
        <f t="shared" ca="1" si="16"/>
        <v/>
      </c>
      <c r="CO18" s="13" t="str">
        <f t="shared" ca="1" si="16"/>
        <v/>
      </c>
      <c r="CP18" s="13" t="str">
        <f t="shared" ca="1" si="16"/>
        <v/>
      </c>
      <c r="CQ18" s="13" t="str">
        <f t="shared" ca="1" si="16"/>
        <v/>
      </c>
      <c r="CR18" s="13" t="str">
        <f t="shared" ca="1" si="16"/>
        <v/>
      </c>
      <c r="CS18" s="13" t="str">
        <f t="shared" ca="1" si="16"/>
        <v/>
      </c>
      <c r="CT18" s="13" t="str">
        <f t="shared" ca="1" si="16"/>
        <v/>
      </c>
      <c r="CU18" s="13" t="str">
        <f t="shared" ca="1" si="16"/>
        <v/>
      </c>
      <c r="CV18" s="13" t="str">
        <f t="shared" ca="1" si="16"/>
        <v/>
      </c>
      <c r="CW18" s="13" t="str">
        <f t="shared" ca="1" si="16"/>
        <v/>
      </c>
      <c r="CX18" s="13" t="str">
        <f t="shared" ca="1" si="16"/>
        <v/>
      </c>
      <c r="CY18" s="13" t="str">
        <f t="shared" ca="1" si="16"/>
        <v/>
      </c>
      <c r="CZ18" s="13" t="str">
        <f t="shared" ca="1" si="16"/>
        <v/>
      </c>
      <c r="DA18" s="13" t="str">
        <f t="shared" ca="1" si="16"/>
        <v/>
      </c>
      <c r="DB18" s="13" t="str">
        <f t="shared" ca="1" si="16"/>
        <v/>
      </c>
      <c r="DC18" s="13" t="str">
        <f t="shared" ca="1" si="16"/>
        <v/>
      </c>
      <c r="DD18" s="13" t="str">
        <f t="shared" ca="1" si="16"/>
        <v/>
      </c>
      <c r="DE18" s="13" t="str">
        <f t="shared" ca="1" si="16"/>
        <v/>
      </c>
      <c r="DF18" s="13" t="str">
        <f t="shared" ca="1" si="16"/>
        <v/>
      </c>
      <c r="DG18" s="13" t="str">
        <f t="shared" ca="1" si="16"/>
        <v/>
      </c>
      <c r="DH18" s="13" t="str">
        <f t="shared" ca="1" si="16"/>
        <v/>
      </c>
      <c r="DI18" s="13" t="str">
        <f t="shared" ca="1" si="16"/>
        <v/>
      </c>
      <c r="DJ18" s="13" t="str">
        <f t="shared" ca="1" si="16"/>
        <v/>
      </c>
      <c r="DK18" s="13" t="str">
        <f t="shared" ca="1" si="16"/>
        <v/>
      </c>
      <c r="DL18" s="13" t="str">
        <f t="shared" ca="1" si="16"/>
        <v/>
      </c>
      <c r="DM18" s="13" t="str">
        <f t="shared" ca="1" si="16"/>
        <v/>
      </c>
      <c r="DN18" s="13" t="str">
        <f t="shared" ca="1" si="16"/>
        <v/>
      </c>
      <c r="DO18" s="13" t="str">
        <f t="shared" ca="1" si="16"/>
        <v/>
      </c>
      <c r="DP18" s="13" t="str">
        <f t="shared" ca="1" si="16"/>
        <v/>
      </c>
      <c r="DQ18" s="13" t="str">
        <f t="shared" ca="1" si="16"/>
        <v/>
      </c>
      <c r="DR18" s="13" t="str">
        <f t="shared" ca="1" si="16"/>
        <v/>
      </c>
      <c r="DS18" s="13" t="str">
        <f t="shared" ca="1" si="16"/>
        <v/>
      </c>
      <c r="DT18" s="13" t="str">
        <f t="shared" ca="1" si="16"/>
        <v/>
      </c>
      <c r="DU18" s="13" t="str">
        <f t="shared" ca="1" si="16"/>
        <v/>
      </c>
      <c r="DV18" s="13" t="str">
        <f t="shared" ca="1" si="16"/>
        <v/>
      </c>
      <c r="DW18" s="13" t="str">
        <f t="shared" ca="1" si="16"/>
        <v/>
      </c>
      <c r="DX18" s="13" t="str">
        <f t="shared" ca="1" si="16"/>
        <v/>
      </c>
      <c r="DY18" s="13" t="str">
        <f t="shared" ca="1" si="16"/>
        <v/>
      </c>
      <c r="DZ18" s="13" t="str">
        <f t="shared" ca="1" si="16"/>
        <v/>
      </c>
      <c r="EA18" s="13" t="str">
        <f t="shared" ca="1" si="16"/>
        <v/>
      </c>
      <c r="EB18" s="13" t="str">
        <f t="shared" ca="1" si="16"/>
        <v/>
      </c>
      <c r="EC18" s="13" t="str">
        <f t="shared" ca="1" si="16"/>
        <v/>
      </c>
      <c r="ED18" s="13" t="str">
        <f t="shared" ca="1" si="16"/>
        <v/>
      </c>
      <c r="EE18" s="13" t="str">
        <f t="shared" ca="1" si="16"/>
        <v/>
      </c>
      <c r="EF18" s="13" t="str">
        <f t="shared" ca="1" si="16"/>
        <v/>
      </c>
      <c r="EG18" s="13" t="str">
        <f t="shared" ca="1" si="16"/>
        <v/>
      </c>
      <c r="EH18" s="13" t="str">
        <f t="shared" ca="1" si="16"/>
        <v/>
      </c>
      <c r="EI18" s="13" t="str">
        <f t="shared" ca="1" si="16"/>
        <v/>
      </c>
      <c r="EJ18" s="13" t="str">
        <f t="shared" ca="1" si="16"/>
        <v/>
      </c>
    </row>
    <row r="19" spans="1:140" s="1" customFormat="1" ht="40.15" customHeight="1" x14ac:dyDescent="0.25">
      <c r="A19" s="4"/>
      <c r="B19" s="52" t="s">
        <v>20</v>
      </c>
      <c r="C19" s="47" t="s">
        <v>10</v>
      </c>
      <c r="D19" s="47"/>
      <c r="E19" s="48">
        <v>0</v>
      </c>
      <c r="F19" s="49">
        <f>F15+1</f>
        <v>44354</v>
      </c>
      <c r="G19" s="50">
        <v>7</v>
      </c>
      <c r="H19" s="51"/>
      <c r="I19" s="13" t="str">
        <f t="shared" ca="1" si="15"/>
        <v/>
      </c>
      <c r="J19" s="13" t="str">
        <f t="shared" ca="1" si="9"/>
        <v/>
      </c>
      <c r="K19" s="13" t="str">
        <f t="shared" ca="1" si="9"/>
        <v/>
      </c>
      <c r="L19" s="13" t="str">
        <f t="shared" ca="1" si="9"/>
        <v/>
      </c>
      <c r="M19" s="13" t="str">
        <f t="shared" ca="1" si="9"/>
        <v/>
      </c>
      <c r="N19" s="13" t="str">
        <f t="shared" ca="1" si="9"/>
        <v/>
      </c>
      <c r="O19" s="13" t="str">
        <f t="shared" ca="1" si="9"/>
        <v/>
      </c>
      <c r="P19" s="13" t="str">
        <f t="shared" ca="1" si="9"/>
        <v/>
      </c>
      <c r="Q19" s="13" t="str">
        <f t="shared" ca="1" si="9"/>
        <v/>
      </c>
      <c r="R19" s="13" t="str">
        <f t="shared" ca="1" si="9"/>
        <v/>
      </c>
      <c r="S19" s="13" t="str">
        <f t="shared" ca="1" si="9"/>
        <v/>
      </c>
      <c r="T19" s="13" t="str">
        <f t="shared" ca="1" si="9"/>
        <v/>
      </c>
      <c r="U19" s="13" t="str">
        <f t="shared" ca="1" si="9"/>
        <v/>
      </c>
      <c r="V19" s="13" t="str">
        <f t="shared" ca="1" si="9"/>
        <v/>
      </c>
      <c r="W19" s="13" t="str">
        <f t="shared" ca="1" si="9"/>
        <v/>
      </c>
      <c r="X19" s="13" t="str">
        <f t="shared" ca="1" si="9"/>
        <v/>
      </c>
      <c r="Y19" s="13" t="str">
        <f t="shared" ca="1" si="10"/>
        <v/>
      </c>
      <c r="Z19" s="13" t="str">
        <f t="shared" ca="1" si="10"/>
        <v/>
      </c>
      <c r="AA19" s="13" t="str">
        <f t="shared" ca="1" si="10"/>
        <v/>
      </c>
      <c r="AB19" s="13" t="str">
        <f t="shared" ca="1" si="10"/>
        <v/>
      </c>
      <c r="AC19" s="13" t="str">
        <f t="shared" ca="1" si="10"/>
        <v/>
      </c>
      <c r="AD19" s="13" t="str">
        <f t="shared" ca="1" si="10"/>
        <v/>
      </c>
      <c r="AE19" s="13" t="str">
        <f t="shared" ca="1" si="10"/>
        <v/>
      </c>
      <c r="AF19" s="13" t="str">
        <f t="shared" ca="1" si="10"/>
        <v/>
      </c>
      <c r="AG19" s="13" t="str">
        <f t="shared" ca="1" si="10"/>
        <v/>
      </c>
      <c r="AH19" s="13" t="str">
        <f t="shared" ca="1" si="10"/>
        <v/>
      </c>
      <c r="AI19" s="13" t="str">
        <f t="shared" ca="1" si="10"/>
        <v/>
      </c>
      <c r="AJ19" s="13" t="str">
        <f t="shared" ca="1" si="10"/>
        <v/>
      </c>
      <c r="AK19" s="13" t="str">
        <f t="shared" ca="1" si="10"/>
        <v/>
      </c>
      <c r="AL19" s="13" t="str">
        <f t="shared" ca="1" si="10"/>
        <v/>
      </c>
      <c r="AM19" s="13" t="str">
        <f t="shared" ca="1" si="10"/>
        <v/>
      </c>
      <c r="AN19" s="13" t="str">
        <f t="shared" ca="1" si="10"/>
        <v/>
      </c>
      <c r="AO19" s="13" t="str">
        <f t="shared" ca="1" si="11"/>
        <v/>
      </c>
      <c r="AP19" s="13" t="str">
        <f t="shared" ca="1" si="11"/>
        <v/>
      </c>
      <c r="AQ19" s="13" t="str">
        <f t="shared" ca="1" si="11"/>
        <v/>
      </c>
      <c r="AR19" s="13" t="str">
        <f t="shared" ca="1" si="11"/>
        <v/>
      </c>
      <c r="AS19" s="13" t="str">
        <f t="shared" ca="1" si="11"/>
        <v/>
      </c>
      <c r="AT19" s="13" t="str">
        <f t="shared" ca="1" si="11"/>
        <v/>
      </c>
      <c r="AU19" s="13" t="str">
        <f t="shared" ca="1" si="11"/>
        <v/>
      </c>
      <c r="AV19" s="13" t="str">
        <f t="shared" ca="1" si="11"/>
        <v/>
      </c>
      <c r="AW19" s="13" t="str">
        <f t="shared" ca="1" si="11"/>
        <v/>
      </c>
      <c r="AX19" s="13" t="str">
        <f t="shared" ca="1" si="11"/>
        <v/>
      </c>
      <c r="AY19" s="13" t="str">
        <f t="shared" ca="1" si="11"/>
        <v/>
      </c>
      <c r="AZ19" s="13" t="str">
        <f t="shared" ca="1" si="11"/>
        <v/>
      </c>
      <c r="BA19" s="13" t="str">
        <f t="shared" ca="1" si="11"/>
        <v/>
      </c>
      <c r="BB19" s="13" t="str">
        <f t="shared" ca="1" si="11"/>
        <v/>
      </c>
      <c r="BC19" s="13" t="str">
        <f t="shared" ca="1" si="11"/>
        <v/>
      </c>
      <c r="BD19" s="13" t="str">
        <f t="shared" ca="1" si="11"/>
        <v/>
      </c>
      <c r="BE19" s="13" t="str">
        <f t="shared" ca="1" si="12"/>
        <v/>
      </c>
      <c r="BF19" s="13" t="str">
        <f t="shared" ca="1" si="12"/>
        <v/>
      </c>
      <c r="BG19" s="13" t="str">
        <f t="shared" ca="1" si="12"/>
        <v/>
      </c>
      <c r="BH19" s="13" t="str">
        <f t="shared" ca="1" si="12"/>
        <v/>
      </c>
      <c r="BI19" s="13" t="str">
        <f t="shared" ca="1" si="12"/>
        <v/>
      </c>
      <c r="BJ19" s="13" t="str">
        <f t="shared" ca="1" si="12"/>
        <v/>
      </c>
      <c r="BK19" s="13" t="str">
        <f t="shared" ca="1" si="12"/>
        <v/>
      </c>
      <c r="BL19" s="13" t="str">
        <f t="shared" ca="1" si="12"/>
        <v/>
      </c>
      <c r="BM19" s="13" t="str">
        <f t="shared" ca="1" si="12"/>
        <v/>
      </c>
      <c r="BN19" s="13" t="str">
        <f t="shared" ca="1" si="12"/>
        <v/>
      </c>
      <c r="BO19" s="13" t="str">
        <f t="shared" ca="1" si="12"/>
        <v/>
      </c>
      <c r="BP19" s="13" t="str">
        <f t="shared" ca="1" si="12"/>
        <v/>
      </c>
      <c r="BQ19" s="13" t="str">
        <f t="shared" ca="1" si="12"/>
        <v/>
      </c>
      <c r="BR19" s="13" t="str">
        <f t="shared" ca="1" si="12"/>
        <v/>
      </c>
      <c r="BS19" s="13" t="str">
        <f t="shared" ca="1" si="13"/>
        <v/>
      </c>
      <c r="BT19" s="13" t="str">
        <f t="shared" ca="1" si="13"/>
        <v/>
      </c>
      <c r="BU19" s="13" t="str">
        <f t="shared" ca="1" si="13"/>
        <v/>
      </c>
      <c r="BV19" s="13" t="str">
        <f t="shared" ca="1" si="13"/>
        <v/>
      </c>
      <c r="BW19" s="13" t="str">
        <f t="shared" ca="1" si="13"/>
        <v/>
      </c>
      <c r="BX19" s="13" t="str">
        <f t="shared" ca="1" si="13"/>
        <v/>
      </c>
      <c r="BY19" s="13" t="str">
        <f t="shared" ca="1" si="13"/>
        <v/>
      </c>
      <c r="BZ19" s="13" t="str">
        <f t="shared" ca="1" si="13"/>
        <v/>
      </c>
      <c r="CA19" s="13" t="str">
        <f t="shared" ca="1" si="13"/>
        <v/>
      </c>
      <c r="CB19" s="13" t="str">
        <f t="shared" ca="1" si="13"/>
        <v/>
      </c>
      <c r="CC19" s="13" t="str">
        <f t="shared" ca="1" si="13"/>
        <v/>
      </c>
      <c r="CD19" s="13" t="str">
        <f t="shared" ca="1" si="13"/>
        <v/>
      </c>
      <c r="CE19" s="13" t="str">
        <f t="shared" ca="1" si="13"/>
        <v/>
      </c>
      <c r="CF19" s="13" t="str">
        <f t="shared" ca="1" si="13"/>
        <v/>
      </c>
      <c r="CG19" s="13" t="str">
        <f t="shared" ca="1" si="13"/>
        <v/>
      </c>
      <c r="CH19" s="13" t="str">
        <f t="shared" ca="1" si="13"/>
        <v/>
      </c>
      <c r="CI19" s="13" t="str">
        <f t="shared" ca="1" si="13"/>
        <v/>
      </c>
      <c r="CJ19" s="13" t="str">
        <f t="shared" ca="1" si="13"/>
        <v/>
      </c>
      <c r="CK19" s="13" t="str">
        <f t="shared" ca="1" si="13"/>
        <v/>
      </c>
      <c r="CL19" s="13" t="str">
        <f t="shared" ca="1" si="13"/>
        <v/>
      </c>
      <c r="CM19" s="13" t="str">
        <f t="shared" ca="1" si="16"/>
        <v/>
      </c>
      <c r="CN19" s="13" t="str">
        <f t="shared" ca="1" si="16"/>
        <v/>
      </c>
      <c r="CO19" s="13" t="str">
        <f t="shared" ca="1" si="16"/>
        <v/>
      </c>
      <c r="CP19" s="13" t="str">
        <f t="shared" ca="1" si="16"/>
        <v/>
      </c>
      <c r="CQ19" s="13" t="str">
        <f t="shared" ca="1" si="16"/>
        <v/>
      </c>
      <c r="CR19" s="13" t="str">
        <f t="shared" ca="1" si="16"/>
        <v/>
      </c>
      <c r="CS19" s="13" t="str">
        <f t="shared" ca="1" si="16"/>
        <v/>
      </c>
      <c r="CT19" s="13" t="str">
        <f t="shared" ca="1" si="16"/>
        <v/>
      </c>
      <c r="CU19" s="13" t="str">
        <f t="shared" ca="1" si="16"/>
        <v/>
      </c>
      <c r="CV19" s="13" t="str">
        <f t="shared" ca="1" si="16"/>
        <v/>
      </c>
      <c r="CW19" s="13" t="str">
        <f t="shared" ca="1" si="16"/>
        <v/>
      </c>
      <c r="CX19" s="13" t="str">
        <f t="shared" ca="1" si="16"/>
        <v/>
      </c>
      <c r="CY19" s="13" t="str">
        <f t="shared" ca="1" si="16"/>
        <v/>
      </c>
      <c r="CZ19" s="13" t="str">
        <f t="shared" ca="1" si="16"/>
        <v/>
      </c>
      <c r="DA19" s="13" t="str">
        <f t="shared" ca="1" si="16"/>
        <v/>
      </c>
      <c r="DB19" s="13" t="str">
        <f t="shared" ca="1" si="16"/>
        <v/>
      </c>
      <c r="DC19" s="13" t="str">
        <f t="shared" ca="1" si="16"/>
        <v/>
      </c>
      <c r="DD19" s="13" t="str">
        <f t="shared" ca="1" si="16"/>
        <v/>
      </c>
      <c r="DE19" s="13" t="str">
        <f t="shared" ca="1" si="16"/>
        <v/>
      </c>
      <c r="DF19" s="13" t="str">
        <f t="shared" ca="1" si="16"/>
        <v/>
      </c>
      <c r="DG19" s="13" t="str">
        <f t="shared" ca="1" si="16"/>
        <v/>
      </c>
      <c r="DH19" s="13" t="str">
        <f t="shared" ca="1" si="16"/>
        <v/>
      </c>
      <c r="DI19" s="13" t="str">
        <f t="shared" ca="1" si="16"/>
        <v/>
      </c>
      <c r="DJ19" s="13" t="str">
        <f t="shared" ca="1" si="16"/>
        <v/>
      </c>
      <c r="DK19" s="13" t="str">
        <f t="shared" ca="1" si="16"/>
        <v/>
      </c>
      <c r="DL19" s="13" t="str">
        <f t="shared" ca="1" si="16"/>
        <v/>
      </c>
      <c r="DM19" s="13" t="str">
        <f t="shared" ca="1" si="16"/>
        <v/>
      </c>
      <c r="DN19" s="13" t="str">
        <f t="shared" ca="1" si="16"/>
        <v/>
      </c>
      <c r="DO19" s="13" t="str">
        <f t="shared" ca="1" si="16"/>
        <v/>
      </c>
      <c r="DP19" s="13" t="str">
        <f t="shared" ca="1" si="16"/>
        <v/>
      </c>
      <c r="DQ19" s="13" t="str">
        <f t="shared" ca="1" si="16"/>
        <v/>
      </c>
      <c r="DR19" s="13" t="str">
        <f t="shared" ca="1" si="16"/>
        <v/>
      </c>
      <c r="DS19" s="13" t="str">
        <f t="shared" ca="1" si="16"/>
        <v/>
      </c>
      <c r="DT19" s="13" t="str">
        <f t="shared" ca="1" si="16"/>
        <v/>
      </c>
      <c r="DU19" s="13" t="str">
        <f t="shared" ca="1" si="16"/>
        <v/>
      </c>
      <c r="DV19" s="13" t="str">
        <f t="shared" ca="1" si="16"/>
        <v/>
      </c>
      <c r="DW19" s="13" t="str">
        <f t="shared" ca="1" si="16"/>
        <v/>
      </c>
      <c r="DX19" s="13" t="str">
        <f t="shared" ca="1" si="16"/>
        <v/>
      </c>
      <c r="DY19" s="13" t="str">
        <f t="shared" ca="1" si="16"/>
        <v/>
      </c>
      <c r="DZ19" s="13" t="str">
        <f t="shared" ca="1" si="16"/>
        <v/>
      </c>
      <c r="EA19" s="13" t="str">
        <f t="shared" ca="1" si="16"/>
        <v/>
      </c>
      <c r="EB19" s="13" t="str">
        <f t="shared" ca="1" si="16"/>
        <v/>
      </c>
      <c r="EC19" s="13" t="str">
        <f t="shared" ca="1" si="16"/>
        <v/>
      </c>
      <c r="ED19" s="13" t="str">
        <f t="shared" ca="1" si="16"/>
        <v/>
      </c>
      <c r="EE19" s="13" t="str">
        <f t="shared" ca="1" si="16"/>
        <v/>
      </c>
      <c r="EF19" s="13" t="str">
        <f t="shared" ca="1" si="16"/>
        <v/>
      </c>
      <c r="EG19" s="13" t="str">
        <f t="shared" ca="1" si="16"/>
        <v/>
      </c>
      <c r="EH19" s="13" t="str">
        <f t="shared" ca="1" si="16"/>
        <v/>
      </c>
      <c r="EI19" s="13" t="str">
        <f t="shared" ca="1" si="16"/>
        <v/>
      </c>
      <c r="EJ19" s="13" t="str">
        <f t="shared" ca="1" si="16"/>
        <v/>
      </c>
    </row>
    <row r="20" spans="1:140" s="1" customFormat="1" ht="40.15" customHeight="1" x14ac:dyDescent="0.25">
      <c r="A20" s="4"/>
      <c r="B20" s="46" t="s">
        <v>29</v>
      </c>
      <c r="C20" s="47"/>
      <c r="D20" s="47"/>
      <c r="E20" s="48"/>
      <c r="F20" s="49"/>
      <c r="G20" s="50"/>
      <c r="H20" s="51"/>
      <c r="I20" s="13" t="str">
        <f t="shared" ref="I20:X29" ca="1" si="17">IF(AND($C20="目標",I$7&gt;=$F20,I$7&lt;=$F20+$G20-1),2,IF(AND($C20="マイルストーン",I$7&gt;=$F20,I$7&lt;=$F20+$G20-1),1,""))</f>
        <v/>
      </c>
      <c r="J20" s="13" t="str">
        <f t="shared" ca="1" si="17"/>
        <v/>
      </c>
      <c r="K20" s="13" t="str">
        <f t="shared" ca="1" si="17"/>
        <v/>
      </c>
      <c r="L20" s="13" t="str">
        <f t="shared" ca="1" si="17"/>
        <v/>
      </c>
      <c r="M20" s="13" t="str">
        <f t="shared" ca="1" si="17"/>
        <v/>
      </c>
      <c r="N20" s="13" t="str">
        <f t="shared" ca="1" si="17"/>
        <v/>
      </c>
      <c r="O20" s="13" t="str">
        <f t="shared" ca="1" si="17"/>
        <v/>
      </c>
      <c r="P20" s="13" t="str">
        <f t="shared" ca="1" si="17"/>
        <v/>
      </c>
      <c r="Q20" s="13" t="str">
        <f t="shared" ca="1" si="17"/>
        <v/>
      </c>
      <c r="R20" s="13" t="str">
        <f t="shared" ca="1" si="17"/>
        <v/>
      </c>
      <c r="S20" s="13" t="str">
        <f t="shared" ca="1" si="17"/>
        <v/>
      </c>
      <c r="T20" s="13" t="str">
        <f t="shared" ca="1" si="17"/>
        <v/>
      </c>
      <c r="U20" s="13" t="str">
        <f t="shared" ca="1" si="17"/>
        <v/>
      </c>
      <c r="V20" s="13" t="str">
        <f t="shared" ca="1" si="17"/>
        <v/>
      </c>
      <c r="W20" s="13" t="str">
        <f t="shared" ca="1" si="17"/>
        <v/>
      </c>
      <c r="X20" s="13" t="str">
        <f t="shared" ca="1" si="17"/>
        <v/>
      </c>
      <c r="Y20" s="13" t="str">
        <f t="shared" ref="Y20:AM29" ca="1" si="18">IF(AND($C20="目標",Y$7&gt;=$F20,Y$7&lt;=$F20+$G20-1),2,IF(AND($C20="マイルストーン",Y$7&gt;=$F20,Y$7&lt;=$F20+$G20-1),1,""))</f>
        <v/>
      </c>
      <c r="Z20" s="13" t="str">
        <f t="shared" ca="1" si="18"/>
        <v/>
      </c>
      <c r="AA20" s="13" t="str">
        <f t="shared" ca="1" si="18"/>
        <v/>
      </c>
      <c r="AB20" s="13" t="str">
        <f t="shared" ca="1" si="18"/>
        <v/>
      </c>
      <c r="AC20" s="13" t="str">
        <f t="shared" ca="1" si="18"/>
        <v/>
      </c>
      <c r="AD20" s="13" t="str">
        <f t="shared" ca="1" si="18"/>
        <v/>
      </c>
      <c r="AE20" s="13" t="str">
        <f t="shared" ca="1" si="18"/>
        <v/>
      </c>
      <c r="AF20" s="13" t="str">
        <f t="shared" ca="1" si="18"/>
        <v/>
      </c>
      <c r="AG20" s="13" t="str">
        <f t="shared" ca="1" si="18"/>
        <v/>
      </c>
      <c r="AH20" s="13" t="str">
        <f t="shared" ca="1" si="18"/>
        <v/>
      </c>
      <c r="AI20" s="13" t="str">
        <f t="shared" ca="1" si="18"/>
        <v/>
      </c>
      <c r="AJ20" s="13" t="str">
        <f t="shared" ca="1" si="18"/>
        <v/>
      </c>
      <c r="AK20" s="13" t="str">
        <f t="shared" ca="1" si="18"/>
        <v/>
      </c>
      <c r="AL20" s="13" t="str">
        <f t="shared" ca="1" si="18"/>
        <v/>
      </c>
      <c r="AM20" s="13" t="str">
        <f t="shared" ca="1" si="18"/>
        <v/>
      </c>
      <c r="AN20" s="13" t="str">
        <f t="shared" ref="AN20:BC29" ca="1" si="19">IF(AND($C20="目標",AN$7&gt;=$F20,AN$7&lt;=$F20+$G20-1),2,IF(AND($C20="マイルストーン",AN$7&gt;=$F20,AN$7&lt;=$F20+$G20-1),1,""))</f>
        <v/>
      </c>
      <c r="AO20" s="13" t="str">
        <f t="shared" ca="1" si="19"/>
        <v/>
      </c>
      <c r="AP20" s="13" t="str">
        <f t="shared" ca="1" si="19"/>
        <v/>
      </c>
      <c r="AQ20" s="13" t="str">
        <f t="shared" ca="1" si="19"/>
        <v/>
      </c>
      <c r="AR20" s="13" t="str">
        <f t="shared" ca="1" si="19"/>
        <v/>
      </c>
      <c r="AS20" s="13" t="str">
        <f t="shared" ca="1" si="19"/>
        <v/>
      </c>
      <c r="AT20" s="13" t="str">
        <f t="shared" ca="1" si="19"/>
        <v/>
      </c>
      <c r="AU20" s="13" t="str">
        <f t="shared" ca="1" si="19"/>
        <v/>
      </c>
      <c r="AV20" s="13" t="str">
        <f t="shared" ca="1" si="19"/>
        <v/>
      </c>
      <c r="AW20" s="13" t="str">
        <f t="shared" ca="1" si="19"/>
        <v/>
      </c>
      <c r="AX20" s="13" t="str">
        <f t="shared" ca="1" si="19"/>
        <v/>
      </c>
      <c r="AY20" s="13" t="str">
        <f t="shared" ca="1" si="19"/>
        <v/>
      </c>
      <c r="AZ20" s="13" t="str">
        <f t="shared" ca="1" si="19"/>
        <v/>
      </c>
      <c r="BA20" s="13" t="str">
        <f t="shared" ca="1" si="19"/>
        <v/>
      </c>
      <c r="BB20" s="13" t="str">
        <f t="shared" ca="1" si="19"/>
        <v/>
      </c>
      <c r="BC20" s="13" t="str">
        <f t="shared" ca="1" si="19"/>
        <v/>
      </c>
      <c r="BD20" s="13" t="str">
        <f t="shared" ref="BD20:BR29" ca="1" si="20">IF(AND($C20="目標",BD$7&gt;=$F20,BD$7&lt;=$F20+$G20-1),2,IF(AND($C20="マイルストーン",BD$7&gt;=$F20,BD$7&lt;=$F20+$G20-1),1,""))</f>
        <v/>
      </c>
      <c r="BE20" s="13" t="str">
        <f t="shared" ca="1" si="20"/>
        <v/>
      </c>
      <c r="BF20" s="13" t="str">
        <f t="shared" ca="1" si="20"/>
        <v/>
      </c>
      <c r="BG20" s="13" t="str">
        <f t="shared" ca="1" si="20"/>
        <v/>
      </c>
      <c r="BH20" s="13" t="str">
        <f t="shared" ca="1" si="20"/>
        <v/>
      </c>
      <c r="BI20" s="13" t="str">
        <f t="shared" ca="1" si="20"/>
        <v/>
      </c>
      <c r="BJ20" s="13" t="str">
        <f t="shared" ca="1" si="20"/>
        <v/>
      </c>
      <c r="BK20" s="13" t="str">
        <f t="shared" ca="1" si="20"/>
        <v/>
      </c>
      <c r="BL20" s="13" t="str">
        <f t="shared" ca="1" si="20"/>
        <v/>
      </c>
      <c r="BM20" s="13" t="str">
        <f t="shared" ca="1" si="20"/>
        <v/>
      </c>
      <c r="BN20" s="13" t="str">
        <f t="shared" ca="1" si="20"/>
        <v/>
      </c>
      <c r="BO20" s="13" t="str">
        <f t="shared" ca="1" si="20"/>
        <v/>
      </c>
      <c r="BP20" s="13" t="str">
        <f t="shared" ca="1" si="20"/>
        <v/>
      </c>
      <c r="BQ20" s="13" t="str">
        <f t="shared" ca="1" si="20"/>
        <v/>
      </c>
      <c r="BR20" s="13" t="str">
        <f t="shared" ca="1" si="20"/>
        <v/>
      </c>
      <c r="BS20" s="13" t="str">
        <f t="shared" ca="1" si="13"/>
        <v/>
      </c>
      <c r="BT20" s="13" t="str">
        <f t="shared" ca="1" si="13"/>
        <v/>
      </c>
      <c r="BU20" s="13" t="str">
        <f t="shared" ca="1" si="13"/>
        <v/>
      </c>
      <c r="BV20" s="13" t="str">
        <f t="shared" ca="1" si="13"/>
        <v/>
      </c>
      <c r="BW20" s="13" t="str">
        <f t="shared" ca="1" si="13"/>
        <v/>
      </c>
      <c r="BX20" s="13" t="str">
        <f t="shared" ca="1" si="13"/>
        <v/>
      </c>
      <c r="BY20" s="13" t="str">
        <f t="shared" ca="1" si="13"/>
        <v/>
      </c>
      <c r="BZ20" s="13" t="str">
        <f t="shared" ca="1" si="13"/>
        <v/>
      </c>
      <c r="CA20" s="13" t="str">
        <f t="shared" ca="1" si="13"/>
        <v/>
      </c>
      <c r="CB20" s="13" t="str">
        <f t="shared" ca="1" si="13"/>
        <v/>
      </c>
      <c r="CC20" s="13" t="str">
        <f t="shared" ca="1" si="13"/>
        <v/>
      </c>
      <c r="CD20" s="13" t="str">
        <f t="shared" ca="1" si="13"/>
        <v/>
      </c>
      <c r="CE20" s="13" t="str">
        <f t="shared" ca="1" si="13"/>
        <v/>
      </c>
      <c r="CF20" s="13" t="str">
        <f t="shared" ca="1" si="13"/>
        <v/>
      </c>
      <c r="CG20" s="13" t="str">
        <f t="shared" ca="1" si="13"/>
        <v/>
      </c>
      <c r="CH20" s="13" t="str">
        <f t="shared" ca="1" si="13"/>
        <v/>
      </c>
      <c r="CI20" s="13" t="str">
        <f t="shared" ca="1" si="13"/>
        <v/>
      </c>
      <c r="CJ20" s="13" t="str">
        <f t="shared" ca="1" si="13"/>
        <v/>
      </c>
      <c r="CK20" s="13" t="str">
        <f t="shared" ca="1" si="13"/>
        <v/>
      </c>
      <c r="CL20" s="13" t="str">
        <f t="shared" ca="1" si="13"/>
        <v/>
      </c>
      <c r="CM20" s="13" t="str">
        <f t="shared" ca="1" si="16"/>
        <v/>
      </c>
      <c r="CN20" s="13" t="str">
        <f t="shared" ca="1" si="16"/>
        <v/>
      </c>
      <c r="CO20" s="13" t="str">
        <f t="shared" ca="1" si="16"/>
        <v/>
      </c>
      <c r="CP20" s="13" t="str">
        <f t="shared" ca="1" si="16"/>
        <v/>
      </c>
      <c r="CQ20" s="13" t="str">
        <f t="shared" ca="1" si="16"/>
        <v/>
      </c>
      <c r="CR20" s="13" t="str">
        <f t="shared" ca="1" si="16"/>
        <v/>
      </c>
      <c r="CS20" s="13" t="str">
        <f t="shared" ca="1" si="16"/>
        <v/>
      </c>
      <c r="CT20" s="13" t="str">
        <f t="shared" ca="1" si="16"/>
        <v/>
      </c>
      <c r="CU20" s="13" t="str">
        <f t="shared" ca="1" si="16"/>
        <v/>
      </c>
      <c r="CV20" s="13" t="str">
        <f t="shared" ca="1" si="16"/>
        <v/>
      </c>
      <c r="CW20" s="13" t="str">
        <f t="shared" ca="1" si="16"/>
        <v/>
      </c>
      <c r="CX20" s="13" t="str">
        <f t="shared" ca="1" si="16"/>
        <v/>
      </c>
      <c r="CY20" s="13" t="str">
        <f t="shared" ca="1" si="16"/>
        <v/>
      </c>
      <c r="CZ20" s="13" t="str">
        <f t="shared" ca="1" si="16"/>
        <v/>
      </c>
      <c r="DA20" s="13" t="str">
        <f t="shared" ca="1" si="16"/>
        <v/>
      </c>
      <c r="DB20" s="13" t="str">
        <f t="shared" ca="1" si="16"/>
        <v/>
      </c>
      <c r="DC20" s="13" t="str">
        <f t="shared" ca="1" si="16"/>
        <v/>
      </c>
      <c r="DD20" s="13" t="str">
        <f t="shared" ca="1" si="16"/>
        <v/>
      </c>
      <c r="DE20" s="13" t="str">
        <f t="shared" ca="1" si="16"/>
        <v/>
      </c>
      <c r="DF20" s="13" t="str">
        <f t="shared" ca="1" si="16"/>
        <v/>
      </c>
      <c r="DG20" s="13" t="str">
        <f t="shared" ca="1" si="16"/>
        <v/>
      </c>
      <c r="DH20" s="13" t="str">
        <f t="shared" ca="1" si="16"/>
        <v/>
      </c>
      <c r="DI20" s="13" t="str">
        <f t="shared" ca="1" si="16"/>
        <v/>
      </c>
      <c r="DJ20" s="13" t="str">
        <f t="shared" ca="1" si="16"/>
        <v/>
      </c>
      <c r="DK20" s="13" t="str">
        <f t="shared" ca="1" si="16"/>
        <v/>
      </c>
      <c r="DL20" s="13" t="str">
        <f t="shared" ca="1" si="16"/>
        <v/>
      </c>
      <c r="DM20" s="13" t="str">
        <f t="shared" ca="1" si="16"/>
        <v/>
      </c>
      <c r="DN20" s="13" t="str">
        <f t="shared" ca="1" si="16"/>
        <v/>
      </c>
      <c r="DO20" s="13" t="str">
        <f t="shared" ca="1" si="16"/>
        <v/>
      </c>
      <c r="DP20" s="13" t="str">
        <f t="shared" ca="1" si="16"/>
        <v/>
      </c>
      <c r="DQ20" s="13" t="str">
        <f t="shared" ca="1" si="16"/>
        <v/>
      </c>
      <c r="DR20" s="13" t="str">
        <f t="shared" ca="1" si="16"/>
        <v/>
      </c>
      <c r="DS20" s="13" t="str">
        <f t="shared" ca="1" si="16"/>
        <v/>
      </c>
      <c r="DT20" s="13" t="str">
        <f t="shared" ca="1" si="16"/>
        <v/>
      </c>
      <c r="DU20" s="13" t="str">
        <f t="shared" ca="1" si="16"/>
        <v/>
      </c>
      <c r="DV20" s="13" t="str">
        <f t="shared" ca="1" si="16"/>
        <v/>
      </c>
      <c r="DW20" s="13" t="str">
        <f t="shared" ca="1" si="16"/>
        <v/>
      </c>
      <c r="DX20" s="13" t="str">
        <f t="shared" ca="1" si="16"/>
        <v/>
      </c>
      <c r="DY20" s="13" t="str">
        <f t="shared" ca="1" si="16"/>
        <v/>
      </c>
      <c r="DZ20" s="13" t="str">
        <f t="shared" ca="1" si="16"/>
        <v/>
      </c>
      <c r="EA20" s="13" t="str">
        <f t="shared" ca="1" si="16"/>
        <v/>
      </c>
      <c r="EB20" s="13" t="str">
        <f t="shared" ca="1" si="16"/>
        <v/>
      </c>
      <c r="EC20" s="13" t="str">
        <f t="shared" ca="1" si="16"/>
        <v/>
      </c>
      <c r="ED20" s="13" t="str">
        <f t="shared" ca="1" si="16"/>
        <v/>
      </c>
      <c r="EE20" s="13" t="str">
        <f t="shared" ca="1" si="16"/>
        <v/>
      </c>
      <c r="EF20" s="13" t="str">
        <f t="shared" ca="1" si="16"/>
        <v/>
      </c>
      <c r="EG20" s="13" t="str">
        <f t="shared" ca="1" si="16"/>
        <v/>
      </c>
      <c r="EH20" s="13" t="str">
        <f t="shared" ca="1" si="16"/>
        <v/>
      </c>
      <c r="EI20" s="13" t="str">
        <f t="shared" ca="1" si="16"/>
        <v/>
      </c>
      <c r="EJ20" s="13" t="str">
        <f t="shared" ca="1" si="16"/>
        <v/>
      </c>
    </row>
    <row r="21" spans="1:140" s="1" customFormat="1" ht="40.15" customHeight="1" x14ac:dyDescent="0.25">
      <c r="A21" s="4"/>
      <c r="B21" s="52" t="s">
        <v>19</v>
      </c>
      <c r="C21" s="47" t="s">
        <v>6</v>
      </c>
      <c r="D21" s="47" t="s">
        <v>30</v>
      </c>
      <c r="E21" s="48"/>
      <c r="F21" s="49">
        <f>F18+3</f>
        <v>44363</v>
      </c>
      <c r="G21" s="50">
        <v>1</v>
      </c>
      <c r="H21" s="51"/>
      <c r="I21" s="13" t="str">
        <f t="shared" ca="1" si="17"/>
        <v/>
      </c>
      <c r="J21" s="13" t="str">
        <f t="shared" ca="1" si="17"/>
        <v/>
      </c>
      <c r="K21" s="13" t="str">
        <f t="shared" ca="1" si="17"/>
        <v/>
      </c>
      <c r="L21" s="13" t="str">
        <f t="shared" ca="1" si="17"/>
        <v/>
      </c>
      <c r="M21" s="13" t="str">
        <f t="shared" ca="1" si="17"/>
        <v/>
      </c>
      <c r="N21" s="13" t="str">
        <f t="shared" ca="1" si="17"/>
        <v/>
      </c>
      <c r="O21" s="13" t="str">
        <f t="shared" ca="1" si="17"/>
        <v/>
      </c>
      <c r="P21" s="13" t="str">
        <f t="shared" ca="1" si="17"/>
        <v/>
      </c>
      <c r="Q21" s="13" t="str">
        <f t="shared" ca="1" si="17"/>
        <v/>
      </c>
      <c r="R21" s="13" t="str">
        <f t="shared" ca="1" si="17"/>
        <v/>
      </c>
      <c r="S21" s="13" t="str">
        <f t="shared" ca="1" si="17"/>
        <v/>
      </c>
      <c r="T21" s="13" t="str">
        <f t="shared" ca="1" si="17"/>
        <v/>
      </c>
      <c r="U21" s="13" t="str">
        <f t="shared" ca="1" si="17"/>
        <v/>
      </c>
      <c r="V21" s="13" t="str">
        <f t="shared" ca="1" si="17"/>
        <v/>
      </c>
      <c r="W21" s="13" t="str">
        <f t="shared" ca="1" si="17"/>
        <v/>
      </c>
      <c r="X21" s="13" t="str">
        <f t="shared" ca="1" si="17"/>
        <v/>
      </c>
      <c r="Y21" s="13" t="str">
        <f t="shared" ca="1" si="18"/>
        <v/>
      </c>
      <c r="Z21" s="13" t="str">
        <f t="shared" ca="1" si="18"/>
        <v/>
      </c>
      <c r="AA21" s="13" t="str">
        <f t="shared" ca="1" si="18"/>
        <v/>
      </c>
      <c r="AB21" s="13" t="str">
        <f t="shared" ca="1" si="18"/>
        <v/>
      </c>
      <c r="AC21" s="13" t="str">
        <f t="shared" ca="1" si="18"/>
        <v/>
      </c>
      <c r="AD21" s="13" t="str">
        <f t="shared" ca="1" si="18"/>
        <v/>
      </c>
      <c r="AE21" s="13" t="str">
        <f t="shared" ca="1" si="18"/>
        <v/>
      </c>
      <c r="AF21" s="13" t="str">
        <f t="shared" ca="1" si="18"/>
        <v/>
      </c>
      <c r="AG21" s="13">
        <f t="shared" ca="1" si="18"/>
        <v>1</v>
      </c>
      <c r="AH21" s="13" t="str">
        <f t="shared" ca="1" si="18"/>
        <v/>
      </c>
      <c r="AI21" s="13" t="str">
        <f t="shared" ca="1" si="18"/>
        <v/>
      </c>
      <c r="AJ21" s="13" t="str">
        <f t="shared" ca="1" si="18"/>
        <v/>
      </c>
      <c r="AK21" s="13" t="str">
        <f t="shared" ca="1" si="18"/>
        <v/>
      </c>
      <c r="AL21" s="13" t="str">
        <f t="shared" ca="1" si="18"/>
        <v/>
      </c>
      <c r="AM21" s="13" t="str">
        <f t="shared" ca="1" si="18"/>
        <v/>
      </c>
      <c r="AN21" s="13" t="str">
        <f t="shared" ca="1" si="19"/>
        <v/>
      </c>
      <c r="AO21" s="13" t="str">
        <f t="shared" ca="1" si="19"/>
        <v/>
      </c>
      <c r="AP21" s="13" t="str">
        <f t="shared" ca="1" si="19"/>
        <v/>
      </c>
      <c r="AQ21" s="13" t="str">
        <f t="shared" ca="1" si="19"/>
        <v/>
      </c>
      <c r="AR21" s="13" t="str">
        <f t="shared" ca="1" si="19"/>
        <v/>
      </c>
      <c r="AS21" s="13" t="str">
        <f t="shared" ca="1" si="19"/>
        <v/>
      </c>
      <c r="AT21" s="13" t="str">
        <f t="shared" ca="1" si="19"/>
        <v/>
      </c>
      <c r="AU21" s="13" t="str">
        <f t="shared" ca="1" si="19"/>
        <v/>
      </c>
      <c r="AV21" s="13" t="str">
        <f t="shared" ca="1" si="19"/>
        <v/>
      </c>
      <c r="AW21" s="13" t="str">
        <f t="shared" ca="1" si="19"/>
        <v/>
      </c>
      <c r="AX21" s="13" t="str">
        <f t="shared" ca="1" si="19"/>
        <v/>
      </c>
      <c r="AY21" s="13" t="str">
        <f t="shared" ca="1" si="19"/>
        <v/>
      </c>
      <c r="AZ21" s="13" t="str">
        <f t="shared" ca="1" si="19"/>
        <v/>
      </c>
      <c r="BA21" s="13" t="str">
        <f t="shared" ca="1" si="19"/>
        <v/>
      </c>
      <c r="BB21" s="13" t="str">
        <f t="shared" ca="1" si="19"/>
        <v/>
      </c>
      <c r="BC21" s="13" t="str">
        <f t="shared" ca="1" si="19"/>
        <v/>
      </c>
      <c r="BD21" s="13" t="str">
        <f t="shared" ca="1" si="20"/>
        <v/>
      </c>
      <c r="BE21" s="13" t="str">
        <f t="shared" ca="1" si="20"/>
        <v/>
      </c>
      <c r="BF21" s="13" t="str">
        <f t="shared" ca="1" si="20"/>
        <v/>
      </c>
      <c r="BG21" s="13" t="str">
        <f t="shared" ca="1" si="20"/>
        <v/>
      </c>
      <c r="BH21" s="13" t="str">
        <f t="shared" ca="1" si="20"/>
        <v/>
      </c>
      <c r="BI21" s="13" t="str">
        <f t="shared" ca="1" si="20"/>
        <v/>
      </c>
      <c r="BJ21" s="13" t="str">
        <f t="shared" ca="1" si="20"/>
        <v/>
      </c>
      <c r="BK21" s="13" t="str">
        <f t="shared" ca="1" si="20"/>
        <v/>
      </c>
      <c r="BL21" s="13" t="str">
        <f t="shared" ca="1" si="20"/>
        <v/>
      </c>
      <c r="BM21" s="13" t="str">
        <f t="shared" ca="1" si="20"/>
        <v/>
      </c>
      <c r="BN21" s="13" t="str">
        <f t="shared" ca="1" si="20"/>
        <v/>
      </c>
      <c r="BO21" s="13" t="str">
        <f t="shared" ca="1" si="20"/>
        <v/>
      </c>
      <c r="BP21" s="13" t="str">
        <f t="shared" ca="1" si="20"/>
        <v/>
      </c>
      <c r="BQ21" s="13" t="str">
        <f t="shared" ca="1" si="20"/>
        <v/>
      </c>
      <c r="BR21" s="13" t="str">
        <f t="shared" ca="1" si="20"/>
        <v/>
      </c>
      <c r="BS21" s="13" t="str">
        <f t="shared" ca="1" si="13"/>
        <v/>
      </c>
      <c r="BT21" s="13" t="str">
        <f t="shared" ca="1" si="13"/>
        <v/>
      </c>
      <c r="BU21" s="13" t="str">
        <f t="shared" ca="1" si="13"/>
        <v/>
      </c>
      <c r="BV21" s="13" t="str">
        <f t="shared" ca="1" si="13"/>
        <v/>
      </c>
      <c r="BW21" s="13" t="str">
        <f t="shared" ca="1" si="13"/>
        <v/>
      </c>
      <c r="BX21" s="13" t="str">
        <f t="shared" ca="1" si="13"/>
        <v/>
      </c>
      <c r="BY21" s="13" t="str">
        <f t="shared" ca="1" si="13"/>
        <v/>
      </c>
      <c r="BZ21" s="13" t="str">
        <f t="shared" ca="1" si="13"/>
        <v/>
      </c>
      <c r="CA21" s="13" t="str">
        <f t="shared" ca="1" si="13"/>
        <v/>
      </c>
      <c r="CB21" s="13" t="str">
        <f t="shared" ca="1" si="13"/>
        <v/>
      </c>
      <c r="CC21" s="13" t="str">
        <f t="shared" ca="1" si="13"/>
        <v/>
      </c>
      <c r="CD21" s="13" t="str">
        <f t="shared" ca="1" si="13"/>
        <v/>
      </c>
      <c r="CE21" s="13" t="str">
        <f t="shared" ca="1" si="13"/>
        <v/>
      </c>
      <c r="CF21" s="13" t="str">
        <f t="shared" ca="1" si="13"/>
        <v/>
      </c>
      <c r="CG21" s="13" t="str">
        <f t="shared" ca="1" si="13"/>
        <v/>
      </c>
      <c r="CH21" s="13" t="str">
        <f t="shared" ca="1" si="13"/>
        <v/>
      </c>
      <c r="CI21" s="13" t="str">
        <f t="shared" ca="1" si="13"/>
        <v/>
      </c>
      <c r="CJ21" s="13" t="str">
        <f t="shared" ca="1" si="13"/>
        <v/>
      </c>
      <c r="CK21" s="13" t="str">
        <f t="shared" ca="1" si="13"/>
        <v/>
      </c>
      <c r="CL21" s="13" t="str">
        <f t="shared" ca="1" si="13"/>
        <v/>
      </c>
      <c r="CM21" s="13" t="str">
        <f t="shared" ca="1" si="16"/>
        <v/>
      </c>
      <c r="CN21" s="13" t="str">
        <f t="shared" ca="1" si="16"/>
        <v/>
      </c>
      <c r="CO21" s="13" t="str">
        <f t="shared" ca="1" si="16"/>
        <v/>
      </c>
      <c r="CP21" s="13" t="str">
        <f t="shared" ca="1" si="16"/>
        <v/>
      </c>
      <c r="CQ21" s="13" t="str">
        <f t="shared" ca="1" si="16"/>
        <v/>
      </c>
      <c r="CR21" s="13" t="str">
        <f t="shared" ca="1" si="16"/>
        <v/>
      </c>
      <c r="CS21" s="13" t="str">
        <f t="shared" ca="1" si="16"/>
        <v/>
      </c>
      <c r="CT21" s="13" t="str">
        <f t="shared" ca="1" si="16"/>
        <v/>
      </c>
      <c r="CU21" s="13" t="str">
        <f t="shared" ca="1" si="16"/>
        <v/>
      </c>
      <c r="CV21" s="13" t="str">
        <f t="shared" ca="1" si="16"/>
        <v/>
      </c>
      <c r="CW21" s="13" t="str">
        <f t="shared" ref="CM21:EJ26" ca="1" si="21">IF(AND($C21="目標",CW$7&gt;=$F21,CW$7&lt;=$F21+$G21-1),2,IF(AND($C21="マイルストーン",CW$7&gt;=$F21,CW$7&lt;=$F21+$G21-1),1,""))</f>
        <v/>
      </c>
      <c r="CX21" s="13" t="str">
        <f t="shared" ca="1" si="21"/>
        <v/>
      </c>
      <c r="CY21" s="13" t="str">
        <f t="shared" ca="1" si="21"/>
        <v/>
      </c>
      <c r="CZ21" s="13" t="str">
        <f t="shared" ca="1" si="21"/>
        <v/>
      </c>
      <c r="DA21" s="13" t="str">
        <f t="shared" ca="1" si="21"/>
        <v/>
      </c>
      <c r="DB21" s="13" t="str">
        <f t="shared" ca="1" si="21"/>
        <v/>
      </c>
      <c r="DC21" s="13" t="str">
        <f t="shared" ca="1" si="21"/>
        <v/>
      </c>
      <c r="DD21" s="13" t="str">
        <f t="shared" ca="1" si="21"/>
        <v/>
      </c>
      <c r="DE21" s="13" t="str">
        <f t="shared" ca="1" si="21"/>
        <v/>
      </c>
      <c r="DF21" s="13" t="str">
        <f t="shared" ca="1" si="21"/>
        <v/>
      </c>
      <c r="DG21" s="13" t="str">
        <f t="shared" ca="1" si="21"/>
        <v/>
      </c>
      <c r="DH21" s="13" t="str">
        <f t="shared" ca="1" si="21"/>
        <v/>
      </c>
      <c r="DI21" s="13" t="str">
        <f t="shared" ca="1" si="21"/>
        <v/>
      </c>
      <c r="DJ21" s="13" t="str">
        <f t="shared" ca="1" si="21"/>
        <v/>
      </c>
      <c r="DK21" s="13" t="str">
        <f t="shared" ca="1" si="21"/>
        <v/>
      </c>
      <c r="DL21" s="13" t="str">
        <f t="shared" ca="1" si="21"/>
        <v/>
      </c>
      <c r="DM21" s="13" t="str">
        <f t="shared" ca="1" si="21"/>
        <v/>
      </c>
      <c r="DN21" s="13" t="str">
        <f t="shared" ca="1" si="21"/>
        <v/>
      </c>
      <c r="DO21" s="13" t="str">
        <f t="shared" ca="1" si="21"/>
        <v/>
      </c>
      <c r="DP21" s="13" t="str">
        <f t="shared" ca="1" si="21"/>
        <v/>
      </c>
      <c r="DQ21" s="13" t="str">
        <f t="shared" ca="1" si="21"/>
        <v/>
      </c>
      <c r="DR21" s="13" t="str">
        <f t="shared" ca="1" si="21"/>
        <v/>
      </c>
      <c r="DS21" s="13" t="str">
        <f t="shared" ca="1" si="21"/>
        <v/>
      </c>
      <c r="DT21" s="13" t="str">
        <f t="shared" ca="1" si="21"/>
        <v/>
      </c>
      <c r="DU21" s="13" t="str">
        <f t="shared" ca="1" si="21"/>
        <v/>
      </c>
      <c r="DV21" s="13" t="str">
        <f t="shared" ca="1" si="21"/>
        <v/>
      </c>
      <c r="DW21" s="13" t="str">
        <f t="shared" ca="1" si="21"/>
        <v/>
      </c>
      <c r="DX21" s="13" t="str">
        <f t="shared" ca="1" si="21"/>
        <v/>
      </c>
      <c r="DY21" s="13" t="str">
        <f t="shared" ca="1" si="21"/>
        <v/>
      </c>
      <c r="DZ21" s="13" t="str">
        <f t="shared" ca="1" si="21"/>
        <v/>
      </c>
      <c r="EA21" s="13" t="str">
        <f t="shared" ca="1" si="21"/>
        <v/>
      </c>
      <c r="EB21" s="13" t="str">
        <f t="shared" ca="1" si="21"/>
        <v/>
      </c>
      <c r="EC21" s="13" t="str">
        <f t="shared" ca="1" si="21"/>
        <v/>
      </c>
      <c r="ED21" s="13" t="str">
        <f t="shared" ca="1" si="21"/>
        <v/>
      </c>
      <c r="EE21" s="13" t="str">
        <f t="shared" ca="1" si="21"/>
        <v/>
      </c>
      <c r="EF21" s="13" t="str">
        <f t="shared" ca="1" si="21"/>
        <v/>
      </c>
      <c r="EG21" s="13" t="str">
        <f t="shared" ca="1" si="21"/>
        <v/>
      </c>
      <c r="EH21" s="13" t="str">
        <f t="shared" ca="1" si="21"/>
        <v/>
      </c>
      <c r="EI21" s="13" t="str">
        <f t="shared" ca="1" si="21"/>
        <v/>
      </c>
      <c r="EJ21" s="13" t="str">
        <f t="shared" ca="1" si="21"/>
        <v/>
      </c>
    </row>
    <row r="22" spans="1:140" s="1" customFormat="1" ht="40.15" customHeight="1" x14ac:dyDescent="0.25">
      <c r="A22" s="4"/>
      <c r="B22" s="52" t="s">
        <v>20</v>
      </c>
      <c r="C22" s="47" t="s">
        <v>10</v>
      </c>
      <c r="D22" s="47"/>
      <c r="E22" s="48">
        <v>0</v>
      </c>
      <c r="F22" s="49">
        <f>F18+1</f>
        <v>44361</v>
      </c>
      <c r="G22" s="50">
        <v>3</v>
      </c>
      <c r="H22" s="51"/>
      <c r="I22" s="13" t="str">
        <f t="shared" ca="1" si="17"/>
        <v/>
      </c>
      <c r="J22" s="13" t="str">
        <f t="shared" ca="1" si="17"/>
        <v/>
      </c>
      <c r="K22" s="13" t="str">
        <f t="shared" ca="1" si="17"/>
        <v/>
      </c>
      <c r="L22" s="13" t="str">
        <f t="shared" ca="1" si="17"/>
        <v/>
      </c>
      <c r="M22" s="13" t="str">
        <f t="shared" ca="1" si="17"/>
        <v/>
      </c>
      <c r="N22" s="13" t="str">
        <f t="shared" ca="1" si="17"/>
        <v/>
      </c>
      <c r="O22" s="13" t="str">
        <f t="shared" ca="1" si="17"/>
        <v/>
      </c>
      <c r="P22" s="13" t="str">
        <f t="shared" ca="1" si="17"/>
        <v/>
      </c>
      <c r="Q22" s="13" t="str">
        <f t="shared" ca="1" si="17"/>
        <v/>
      </c>
      <c r="R22" s="13" t="str">
        <f t="shared" ca="1" si="17"/>
        <v/>
      </c>
      <c r="S22" s="13" t="str">
        <f t="shared" ca="1" si="17"/>
        <v/>
      </c>
      <c r="T22" s="13" t="str">
        <f t="shared" ca="1" si="17"/>
        <v/>
      </c>
      <c r="U22" s="13" t="str">
        <f t="shared" ca="1" si="17"/>
        <v/>
      </c>
      <c r="V22" s="13" t="str">
        <f t="shared" ca="1" si="17"/>
        <v/>
      </c>
      <c r="W22" s="13" t="str">
        <f t="shared" ca="1" si="17"/>
        <v/>
      </c>
      <c r="X22" s="13" t="str">
        <f t="shared" ca="1" si="17"/>
        <v/>
      </c>
      <c r="Y22" s="13" t="str">
        <f t="shared" ca="1" si="18"/>
        <v/>
      </c>
      <c r="Z22" s="13" t="str">
        <f t="shared" ca="1" si="18"/>
        <v/>
      </c>
      <c r="AA22" s="13" t="str">
        <f t="shared" ca="1" si="18"/>
        <v/>
      </c>
      <c r="AB22" s="13" t="str">
        <f t="shared" ca="1" si="18"/>
        <v/>
      </c>
      <c r="AC22" s="13" t="str">
        <f t="shared" ca="1" si="18"/>
        <v/>
      </c>
      <c r="AD22" s="13" t="str">
        <f t="shared" ca="1" si="18"/>
        <v/>
      </c>
      <c r="AE22" s="13" t="str">
        <f t="shared" ca="1" si="18"/>
        <v/>
      </c>
      <c r="AF22" s="13" t="str">
        <f t="shared" ca="1" si="18"/>
        <v/>
      </c>
      <c r="AG22" s="13" t="str">
        <f t="shared" ca="1" si="18"/>
        <v/>
      </c>
      <c r="AH22" s="13" t="str">
        <f t="shared" ca="1" si="18"/>
        <v/>
      </c>
      <c r="AI22" s="13" t="str">
        <f t="shared" ca="1" si="18"/>
        <v/>
      </c>
      <c r="AJ22" s="13" t="str">
        <f t="shared" ca="1" si="18"/>
        <v/>
      </c>
      <c r="AK22" s="13" t="str">
        <f t="shared" ca="1" si="18"/>
        <v/>
      </c>
      <c r="AL22" s="13" t="str">
        <f t="shared" ca="1" si="18"/>
        <v/>
      </c>
      <c r="AM22" s="13" t="str">
        <f t="shared" ca="1" si="18"/>
        <v/>
      </c>
      <c r="AN22" s="13" t="str">
        <f t="shared" ca="1" si="19"/>
        <v/>
      </c>
      <c r="AO22" s="13" t="str">
        <f t="shared" ca="1" si="19"/>
        <v/>
      </c>
      <c r="AP22" s="13" t="str">
        <f t="shared" ca="1" si="19"/>
        <v/>
      </c>
      <c r="AQ22" s="13" t="str">
        <f t="shared" ca="1" si="19"/>
        <v/>
      </c>
      <c r="AR22" s="13" t="str">
        <f t="shared" ca="1" si="19"/>
        <v/>
      </c>
      <c r="AS22" s="13" t="str">
        <f t="shared" ca="1" si="19"/>
        <v/>
      </c>
      <c r="AT22" s="13" t="str">
        <f t="shared" ca="1" si="19"/>
        <v/>
      </c>
      <c r="AU22" s="13" t="str">
        <f t="shared" ca="1" si="19"/>
        <v/>
      </c>
      <c r="AV22" s="13" t="str">
        <f t="shared" ca="1" si="19"/>
        <v/>
      </c>
      <c r="AW22" s="13" t="str">
        <f t="shared" ca="1" si="19"/>
        <v/>
      </c>
      <c r="AX22" s="13" t="str">
        <f t="shared" ca="1" si="19"/>
        <v/>
      </c>
      <c r="AY22" s="13" t="str">
        <f t="shared" ca="1" si="19"/>
        <v/>
      </c>
      <c r="AZ22" s="13" t="str">
        <f t="shared" ca="1" si="19"/>
        <v/>
      </c>
      <c r="BA22" s="13" t="str">
        <f t="shared" ca="1" si="19"/>
        <v/>
      </c>
      <c r="BB22" s="13" t="str">
        <f t="shared" ca="1" si="19"/>
        <v/>
      </c>
      <c r="BC22" s="13" t="str">
        <f t="shared" ca="1" si="19"/>
        <v/>
      </c>
      <c r="BD22" s="13" t="str">
        <f t="shared" ca="1" si="20"/>
        <v/>
      </c>
      <c r="BE22" s="13" t="str">
        <f t="shared" ca="1" si="20"/>
        <v/>
      </c>
      <c r="BF22" s="13" t="str">
        <f t="shared" ca="1" si="20"/>
        <v/>
      </c>
      <c r="BG22" s="13" t="str">
        <f t="shared" ca="1" si="20"/>
        <v/>
      </c>
      <c r="BH22" s="13" t="str">
        <f t="shared" ca="1" si="20"/>
        <v/>
      </c>
      <c r="BI22" s="13" t="str">
        <f t="shared" ca="1" si="20"/>
        <v/>
      </c>
      <c r="BJ22" s="13" t="str">
        <f t="shared" ca="1" si="20"/>
        <v/>
      </c>
      <c r="BK22" s="13" t="str">
        <f t="shared" ca="1" si="20"/>
        <v/>
      </c>
      <c r="BL22" s="13" t="str">
        <f t="shared" ca="1" si="20"/>
        <v/>
      </c>
      <c r="BM22" s="13" t="str">
        <f t="shared" ca="1" si="20"/>
        <v/>
      </c>
      <c r="BN22" s="13" t="str">
        <f t="shared" ca="1" si="20"/>
        <v/>
      </c>
      <c r="BO22" s="13" t="str">
        <f t="shared" ca="1" si="20"/>
        <v/>
      </c>
      <c r="BP22" s="13" t="str">
        <f t="shared" ca="1" si="20"/>
        <v/>
      </c>
      <c r="BQ22" s="13" t="str">
        <f t="shared" ca="1" si="20"/>
        <v/>
      </c>
      <c r="BR22" s="13" t="str">
        <f t="shared" ca="1" si="20"/>
        <v/>
      </c>
      <c r="BS22" s="13" t="str">
        <f t="shared" ca="1" si="13"/>
        <v/>
      </c>
      <c r="BT22" s="13" t="str">
        <f t="shared" ca="1" si="13"/>
        <v/>
      </c>
      <c r="BU22" s="13" t="str">
        <f t="shared" ca="1" si="13"/>
        <v/>
      </c>
      <c r="BV22" s="13" t="str">
        <f t="shared" ca="1" si="13"/>
        <v/>
      </c>
      <c r="BW22" s="13" t="str">
        <f t="shared" ca="1" si="13"/>
        <v/>
      </c>
      <c r="BX22" s="13" t="str">
        <f t="shared" ca="1" si="13"/>
        <v/>
      </c>
      <c r="BY22" s="13" t="str">
        <f t="shared" ca="1" si="13"/>
        <v/>
      </c>
      <c r="BZ22" s="13" t="str">
        <f t="shared" ca="1" si="13"/>
        <v/>
      </c>
      <c r="CA22" s="13" t="str">
        <f t="shared" ca="1" si="13"/>
        <v/>
      </c>
      <c r="CB22" s="13" t="str">
        <f t="shared" ca="1" si="13"/>
        <v/>
      </c>
      <c r="CC22" s="13" t="str">
        <f t="shared" ca="1" si="13"/>
        <v/>
      </c>
      <c r="CD22" s="13" t="str">
        <f t="shared" ca="1" si="13"/>
        <v/>
      </c>
      <c r="CE22" s="13" t="str">
        <f t="shared" ca="1" si="13"/>
        <v/>
      </c>
      <c r="CF22" s="13" t="str">
        <f t="shared" ca="1" si="13"/>
        <v/>
      </c>
      <c r="CG22" s="13" t="str">
        <f t="shared" ca="1" si="13"/>
        <v/>
      </c>
      <c r="CH22" s="13" t="str">
        <f t="shared" ca="1" si="13"/>
        <v/>
      </c>
      <c r="CI22" s="13" t="str">
        <f t="shared" ca="1" si="13"/>
        <v/>
      </c>
      <c r="CJ22" s="13" t="str">
        <f t="shared" ca="1" si="13"/>
        <v/>
      </c>
      <c r="CK22" s="13" t="str">
        <f t="shared" ca="1" si="13"/>
        <v/>
      </c>
      <c r="CL22" s="13" t="str">
        <f t="shared" ca="1" si="13"/>
        <v/>
      </c>
      <c r="CM22" s="13" t="str">
        <f t="shared" ca="1" si="21"/>
        <v/>
      </c>
      <c r="CN22" s="13" t="str">
        <f t="shared" ca="1" si="21"/>
        <v/>
      </c>
      <c r="CO22" s="13" t="str">
        <f t="shared" ca="1" si="21"/>
        <v/>
      </c>
      <c r="CP22" s="13" t="str">
        <f t="shared" ca="1" si="21"/>
        <v/>
      </c>
      <c r="CQ22" s="13" t="str">
        <f t="shared" ca="1" si="21"/>
        <v/>
      </c>
      <c r="CR22" s="13" t="str">
        <f t="shared" ca="1" si="21"/>
        <v/>
      </c>
      <c r="CS22" s="13" t="str">
        <f t="shared" ca="1" si="21"/>
        <v/>
      </c>
      <c r="CT22" s="13" t="str">
        <f t="shared" ca="1" si="21"/>
        <v/>
      </c>
      <c r="CU22" s="13" t="str">
        <f t="shared" ca="1" si="21"/>
        <v/>
      </c>
      <c r="CV22" s="13" t="str">
        <f t="shared" ca="1" si="21"/>
        <v/>
      </c>
      <c r="CW22" s="13" t="str">
        <f t="shared" ca="1" si="21"/>
        <v/>
      </c>
      <c r="CX22" s="13" t="str">
        <f t="shared" ca="1" si="21"/>
        <v/>
      </c>
      <c r="CY22" s="13" t="str">
        <f t="shared" ca="1" si="21"/>
        <v/>
      </c>
      <c r="CZ22" s="13" t="str">
        <f t="shared" ca="1" si="21"/>
        <v/>
      </c>
      <c r="DA22" s="13" t="str">
        <f t="shared" ca="1" si="21"/>
        <v/>
      </c>
      <c r="DB22" s="13" t="str">
        <f t="shared" ca="1" si="21"/>
        <v/>
      </c>
      <c r="DC22" s="13" t="str">
        <f t="shared" ca="1" si="21"/>
        <v/>
      </c>
      <c r="DD22" s="13" t="str">
        <f t="shared" ca="1" si="21"/>
        <v/>
      </c>
      <c r="DE22" s="13" t="str">
        <f t="shared" ca="1" si="21"/>
        <v/>
      </c>
      <c r="DF22" s="13" t="str">
        <f t="shared" ca="1" si="21"/>
        <v/>
      </c>
      <c r="DG22" s="13" t="str">
        <f t="shared" ca="1" si="21"/>
        <v/>
      </c>
      <c r="DH22" s="13" t="str">
        <f t="shared" ca="1" si="21"/>
        <v/>
      </c>
      <c r="DI22" s="13" t="str">
        <f t="shared" ca="1" si="21"/>
        <v/>
      </c>
      <c r="DJ22" s="13" t="str">
        <f t="shared" ca="1" si="21"/>
        <v/>
      </c>
      <c r="DK22" s="13" t="str">
        <f t="shared" ca="1" si="21"/>
        <v/>
      </c>
      <c r="DL22" s="13" t="str">
        <f t="shared" ca="1" si="21"/>
        <v/>
      </c>
      <c r="DM22" s="13" t="str">
        <f t="shared" ca="1" si="21"/>
        <v/>
      </c>
      <c r="DN22" s="13" t="str">
        <f t="shared" ca="1" si="21"/>
        <v/>
      </c>
      <c r="DO22" s="13" t="str">
        <f t="shared" ca="1" si="21"/>
        <v/>
      </c>
      <c r="DP22" s="13" t="str">
        <f t="shared" ca="1" si="21"/>
        <v/>
      </c>
      <c r="DQ22" s="13" t="str">
        <f t="shared" ca="1" si="21"/>
        <v/>
      </c>
      <c r="DR22" s="13" t="str">
        <f t="shared" ca="1" si="21"/>
        <v/>
      </c>
      <c r="DS22" s="13" t="str">
        <f t="shared" ca="1" si="21"/>
        <v/>
      </c>
      <c r="DT22" s="13" t="str">
        <f t="shared" ca="1" si="21"/>
        <v/>
      </c>
      <c r="DU22" s="13" t="str">
        <f t="shared" ca="1" si="21"/>
        <v/>
      </c>
      <c r="DV22" s="13" t="str">
        <f t="shared" ca="1" si="21"/>
        <v/>
      </c>
      <c r="DW22" s="13" t="str">
        <f t="shared" ca="1" si="21"/>
        <v/>
      </c>
      <c r="DX22" s="13" t="str">
        <f t="shared" ca="1" si="21"/>
        <v/>
      </c>
      <c r="DY22" s="13" t="str">
        <f t="shared" ca="1" si="21"/>
        <v/>
      </c>
      <c r="DZ22" s="13" t="str">
        <f t="shared" ca="1" si="21"/>
        <v/>
      </c>
      <c r="EA22" s="13" t="str">
        <f t="shared" ca="1" si="21"/>
        <v/>
      </c>
      <c r="EB22" s="13" t="str">
        <f t="shared" ca="1" si="21"/>
        <v/>
      </c>
      <c r="EC22" s="13" t="str">
        <f t="shared" ca="1" si="21"/>
        <v/>
      </c>
      <c r="ED22" s="13" t="str">
        <f t="shared" ca="1" si="21"/>
        <v/>
      </c>
      <c r="EE22" s="13" t="str">
        <f t="shared" ca="1" si="21"/>
        <v/>
      </c>
      <c r="EF22" s="13" t="str">
        <f t="shared" ca="1" si="21"/>
        <v/>
      </c>
      <c r="EG22" s="13" t="str">
        <f t="shared" ca="1" si="21"/>
        <v/>
      </c>
      <c r="EH22" s="13" t="str">
        <f t="shared" ca="1" si="21"/>
        <v/>
      </c>
      <c r="EI22" s="13" t="str">
        <f t="shared" ca="1" si="21"/>
        <v/>
      </c>
      <c r="EJ22" s="13" t="str">
        <f t="shared" ca="1" si="21"/>
        <v/>
      </c>
    </row>
    <row r="23" spans="1:140" s="1" customFormat="1" ht="40.15" customHeight="1" x14ac:dyDescent="0.25">
      <c r="A23" s="4"/>
      <c r="B23" s="46" t="s">
        <v>31</v>
      </c>
      <c r="C23" s="47"/>
      <c r="D23" s="47"/>
      <c r="E23" s="48"/>
      <c r="F23" s="49"/>
      <c r="G23" s="50"/>
      <c r="H23" s="51"/>
      <c r="I23" s="13" t="str">
        <f t="shared" ca="1" si="17"/>
        <v/>
      </c>
      <c r="J23" s="13" t="str">
        <f t="shared" ca="1" si="17"/>
        <v/>
      </c>
      <c r="K23" s="13" t="str">
        <f t="shared" ca="1" si="17"/>
        <v/>
      </c>
      <c r="L23" s="13" t="str">
        <f t="shared" ca="1" si="17"/>
        <v/>
      </c>
      <c r="M23" s="13" t="str">
        <f t="shared" ca="1" si="17"/>
        <v/>
      </c>
      <c r="N23" s="13" t="str">
        <f t="shared" ca="1" si="17"/>
        <v/>
      </c>
      <c r="O23" s="13" t="str">
        <f t="shared" ca="1" si="17"/>
        <v/>
      </c>
      <c r="P23" s="13" t="str">
        <f t="shared" ca="1" si="17"/>
        <v/>
      </c>
      <c r="Q23" s="13" t="str">
        <f t="shared" ca="1" si="17"/>
        <v/>
      </c>
      <c r="R23" s="13" t="str">
        <f t="shared" ca="1" si="17"/>
        <v/>
      </c>
      <c r="S23" s="13" t="str">
        <f t="shared" ca="1" si="17"/>
        <v/>
      </c>
      <c r="T23" s="13" t="str">
        <f t="shared" ca="1" si="17"/>
        <v/>
      </c>
      <c r="U23" s="13" t="str">
        <f t="shared" ca="1" si="17"/>
        <v/>
      </c>
      <c r="V23" s="13" t="str">
        <f t="shared" ca="1" si="17"/>
        <v/>
      </c>
      <c r="W23" s="13" t="str">
        <f t="shared" ca="1" si="17"/>
        <v/>
      </c>
      <c r="X23" s="13" t="str">
        <f t="shared" ca="1" si="17"/>
        <v/>
      </c>
      <c r="Y23" s="13" t="str">
        <f t="shared" ca="1" si="18"/>
        <v/>
      </c>
      <c r="Z23" s="13" t="str">
        <f t="shared" ca="1" si="18"/>
        <v/>
      </c>
      <c r="AA23" s="13" t="str">
        <f t="shared" ca="1" si="18"/>
        <v/>
      </c>
      <c r="AB23" s="13" t="str">
        <f t="shared" ca="1" si="18"/>
        <v/>
      </c>
      <c r="AC23" s="13" t="str">
        <f t="shared" ca="1" si="18"/>
        <v/>
      </c>
      <c r="AD23" s="13" t="str">
        <f t="shared" ca="1" si="18"/>
        <v/>
      </c>
      <c r="AE23" s="13" t="str">
        <f t="shared" ca="1" si="18"/>
        <v/>
      </c>
      <c r="AF23" s="13" t="str">
        <f t="shared" ca="1" si="18"/>
        <v/>
      </c>
      <c r="AG23" s="13" t="str">
        <f t="shared" ca="1" si="18"/>
        <v/>
      </c>
      <c r="AH23" s="13" t="str">
        <f t="shared" ca="1" si="18"/>
        <v/>
      </c>
      <c r="AI23" s="13" t="str">
        <f t="shared" ca="1" si="18"/>
        <v/>
      </c>
      <c r="AJ23" s="13" t="str">
        <f t="shared" ca="1" si="18"/>
        <v/>
      </c>
      <c r="AK23" s="13" t="str">
        <f t="shared" ca="1" si="18"/>
        <v/>
      </c>
      <c r="AL23" s="13" t="str">
        <f t="shared" ca="1" si="18"/>
        <v/>
      </c>
      <c r="AM23" s="13" t="str">
        <f t="shared" ca="1" si="18"/>
        <v/>
      </c>
      <c r="AN23" s="13" t="str">
        <f t="shared" ca="1" si="19"/>
        <v/>
      </c>
      <c r="AO23" s="13" t="str">
        <f t="shared" ca="1" si="19"/>
        <v/>
      </c>
      <c r="AP23" s="13" t="str">
        <f t="shared" ca="1" si="19"/>
        <v/>
      </c>
      <c r="AQ23" s="13" t="str">
        <f t="shared" ca="1" si="19"/>
        <v/>
      </c>
      <c r="AR23" s="13" t="str">
        <f t="shared" ca="1" si="19"/>
        <v/>
      </c>
      <c r="AS23" s="13" t="str">
        <f t="shared" ca="1" si="19"/>
        <v/>
      </c>
      <c r="AT23" s="13" t="str">
        <f t="shared" ca="1" si="19"/>
        <v/>
      </c>
      <c r="AU23" s="13" t="str">
        <f t="shared" ca="1" si="19"/>
        <v/>
      </c>
      <c r="AV23" s="13" t="str">
        <f t="shared" ca="1" si="19"/>
        <v/>
      </c>
      <c r="AW23" s="13" t="str">
        <f t="shared" ca="1" si="19"/>
        <v/>
      </c>
      <c r="AX23" s="13" t="str">
        <f t="shared" ca="1" si="19"/>
        <v/>
      </c>
      <c r="AY23" s="13" t="str">
        <f t="shared" ca="1" si="19"/>
        <v/>
      </c>
      <c r="AZ23" s="13" t="str">
        <f t="shared" ca="1" si="19"/>
        <v/>
      </c>
      <c r="BA23" s="13" t="str">
        <f t="shared" ca="1" si="19"/>
        <v/>
      </c>
      <c r="BB23" s="13" t="str">
        <f t="shared" ca="1" si="19"/>
        <v/>
      </c>
      <c r="BC23" s="13" t="str">
        <f t="shared" ca="1" si="19"/>
        <v/>
      </c>
      <c r="BD23" s="13" t="str">
        <f t="shared" ca="1" si="20"/>
        <v/>
      </c>
      <c r="BE23" s="13" t="str">
        <f t="shared" ca="1" si="20"/>
        <v/>
      </c>
      <c r="BF23" s="13" t="str">
        <f t="shared" ca="1" si="20"/>
        <v/>
      </c>
      <c r="BG23" s="13" t="str">
        <f t="shared" ca="1" si="20"/>
        <v/>
      </c>
      <c r="BH23" s="13" t="str">
        <f t="shared" ca="1" si="20"/>
        <v/>
      </c>
      <c r="BI23" s="13" t="str">
        <f t="shared" ca="1" si="20"/>
        <v/>
      </c>
      <c r="BJ23" s="13" t="str">
        <f t="shared" ca="1" si="20"/>
        <v/>
      </c>
      <c r="BK23" s="13" t="str">
        <f t="shared" ca="1" si="20"/>
        <v/>
      </c>
      <c r="BL23" s="13" t="str">
        <f t="shared" ca="1" si="20"/>
        <v/>
      </c>
      <c r="BM23" s="13" t="str">
        <f t="shared" ca="1" si="20"/>
        <v/>
      </c>
      <c r="BN23" s="13" t="str">
        <f t="shared" ca="1" si="20"/>
        <v/>
      </c>
      <c r="BO23" s="13" t="str">
        <f t="shared" ca="1" si="20"/>
        <v/>
      </c>
      <c r="BP23" s="13" t="str">
        <f t="shared" ca="1" si="20"/>
        <v/>
      </c>
      <c r="BQ23" s="13" t="str">
        <f t="shared" ca="1" si="20"/>
        <v/>
      </c>
      <c r="BR23" s="13" t="str">
        <f t="shared" ca="1" si="20"/>
        <v/>
      </c>
      <c r="BS23" s="13" t="str">
        <f t="shared" ca="1" si="13"/>
        <v/>
      </c>
      <c r="BT23" s="13" t="str">
        <f t="shared" ca="1" si="13"/>
        <v/>
      </c>
      <c r="BU23" s="13" t="str">
        <f t="shared" ca="1" si="13"/>
        <v/>
      </c>
      <c r="BV23" s="13" t="str">
        <f t="shared" ca="1" si="13"/>
        <v/>
      </c>
      <c r="BW23" s="13" t="str">
        <f t="shared" ca="1" si="13"/>
        <v/>
      </c>
      <c r="BX23" s="13" t="str">
        <f t="shared" ca="1" si="13"/>
        <v/>
      </c>
      <c r="BY23" s="13" t="str">
        <f t="shared" ca="1" si="13"/>
        <v/>
      </c>
      <c r="BZ23" s="13" t="str">
        <f t="shared" ca="1" si="13"/>
        <v/>
      </c>
      <c r="CA23" s="13" t="str">
        <f t="shared" ca="1" si="13"/>
        <v/>
      </c>
      <c r="CB23" s="13" t="str">
        <f t="shared" ca="1" si="13"/>
        <v/>
      </c>
      <c r="CC23" s="13" t="str">
        <f t="shared" ca="1" si="13"/>
        <v/>
      </c>
      <c r="CD23" s="13" t="str">
        <f t="shared" ca="1" si="13"/>
        <v/>
      </c>
      <c r="CE23" s="13" t="str">
        <f t="shared" ca="1" si="13"/>
        <v/>
      </c>
      <c r="CF23" s="13" t="str">
        <f t="shared" ca="1" si="13"/>
        <v/>
      </c>
      <c r="CG23" s="13" t="str">
        <f t="shared" ca="1" si="13"/>
        <v/>
      </c>
      <c r="CH23" s="13" t="str">
        <f t="shared" ca="1" si="13"/>
        <v/>
      </c>
      <c r="CI23" s="13" t="str">
        <f t="shared" ca="1" si="13"/>
        <v/>
      </c>
      <c r="CJ23" s="13" t="str">
        <f t="shared" ref="BS23:CL36" ca="1" si="22">IF(AND($C23="目標",CJ$7&gt;=$F23,CJ$7&lt;=$F23+$G23-1),2,IF(AND($C23="マイルストーン",CJ$7&gt;=$F23,CJ$7&lt;=$F23+$G23-1),1,""))</f>
        <v/>
      </c>
      <c r="CK23" s="13" t="str">
        <f t="shared" ca="1" si="22"/>
        <v/>
      </c>
      <c r="CL23" s="13" t="str">
        <f t="shared" ca="1" si="22"/>
        <v/>
      </c>
      <c r="CM23" s="13" t="str">
        <f t="shared" ca="1" si="21"/>
        <v/>
      </c>
      <c r="CN23" s="13" t="str">
        <f t="shared" ca="1" si="21"/>
        <v/>
      </c>
      <c r="CO23" s="13" t="str">
        <f t="shared" ca="1" si="21"/>
        <v/>
      </c>
      <c r="CP23" s="13" t="str">
        <f t="shared" ca="1" si="21"/>
        <v/>
      </c>
      <c r="CQ23" s="13" t="str">
        <f t="shared" ca="1" si="21"/>
        <v/>
      </c>
      <c r="CR23" s="13" t="str">
        <f t="shared" ca="1" si="21"/>
        <v/>
      </c>
      <c r="CS23" s="13" t="str">
        <f t="shared" ca="1" si="21"/>
        <v/>
      </c>
      <c r="CT23" s="13" t="str">
        <f t="shared" ca="1" si="21"/>
        <v/>
      </c>
      <c r="CU23" s="13" t="str">
        <f t="shared" ca="1" si="21"/>
        <v/>
      </c>
      <c r="CV23" s="13" t="str">
        <f t="shared" ca="1" si="21"/>
        <v/>
      </c>
      <c r="CW23" s="13" t="str">
        <f t="shared" ca="1" si="21"/>
        <v/>
      </c>
      <c r="CX23" s="13" t="str">
        <f t="shared" ca="1" si="21"/>
        <v/>
      </c>
      <c r="CY23" s="13" t="str">
        <f t="shared" ca="1" si="21"/>
        <v/>
      </c>
      <c r="CZ23" s="13" t="str">
        <f t="shared" ca="1" si="21"/>
        <v/>
      </c>
      <c r="DA23" s="13" t="str">
        <f t="shared" ca="1" si="21"/>
        <v/>
      </c>
      <c r="DB23" s="13" t="str">
        <f t="shared" ca="1" si="21"/>
        <v/>
      </c>
      <c r="DC23" s="13" t="str">
        <f t="shared" ca="1" si="21"/>
        <v/>
      </c>
      <c r="DD23" s="13" t="str">
        <f t="shared" ca="1" si="21"/>
        <v/>
      </c>
      <c r="DE23" s="13" t="str">
        <f t="shared" ca="1" si="21"/>
        <v/>
      </c>
      <c r="DF23" s="13" t="str">
        <f t="shared" ca="1" si="21"/>
        <v/>
      </c>
      <c r="DG23" s="13" t="str">
        <f t="shared" ca="1" si="21"/>
        <v/>
      </c>
      <c r="DH23" s="13" t="str">
        <f t="shared" ca="1" si="21"/>
        <v/>
      </c>
      <c r="DI23" s="13" t="str">
        <f t="shared" ca="1" si="21"/>
        <v/>
      </c>
      <c r="DJ23" s="13" t="str">
        <f t="shared" ca="1" si="21"/>
        <v/>
      </c>
      <c r="DK23" s="13" t="str">
        <f t="shared" ca="1" si="21"/>
        <v/>
      </c>
      <c r="DL23" s="13" t="str">
        <f t="shared" ca="1" si="21"/>
        <v/>
      </c>
      <c r="DM23" s="13" t="str">
        <f t="shared" ca="1" si="21"/>
        <v/>
      </c>
      <c r="DN23" s="13" t="str">
        <f t="shared" ca="1" si="21"/>
        <v/>
      </c>
      <c r="DO23" s="13" t="str">
        <f t="shared" ca="1" si="21"/>
        <v/>
      </c>
      <c r="DP23" s="13" t="str">
        <f t="shared" ca="1" si="21"/>
        <v/>
      </c>
      <c r="DQ23" s="13" t="str">
        <f t="shared" ca="1" si="21"/>
        <v/>
      </c>
      <c r="DR23" s="13" t="str">
        <f t="shared" ca="1" si="21"/>
        <v/>
      </c>
      <c r="DS23" s="13" t="str">
        <f t="shared" ca="1" si="21"/>
        <v/>
      </c>
      <c r="DT23" s="13" t="str">
        <f t="shared" ca="1" si="21"/>
        <v/>
      </c>
      <c r="DU23" s="13" t="str">
        <f t="shared" ca="1" si="21"/>
        <v/>
      </c>
      <c r="DV23" s="13" t="str">
        <f t="shared" ca="1" si="21"/>
        <v/>
      </c>
      <c r="DW23" s="13" t="str">
        <f t="shared" ca="1" si="21"/>
        <v/>
      </c>
      <c r="DX23" s="13" t="str">
        <f t="shared" ca="1" si="21"/>
        <v/>
      </c>
      <c r="DY23" s="13" t="str">
        <f t="shared" ca="1" si="21"/>
        <v/>
      </c>
      <c r="DZ23" s="13" t="str">
        <f t="shared" ca="1" si="21"/>
        <v/>
      </c>
      <c r="EA23" s="13" t="str">
        <f t="shared" ca="1" si="21"/>
        <v/>
      </c>
      <c r="EB23" s="13" t="str">
        <f t="shared" ca="1" si="21"/>
        <v/>
      </c>
      <c r="EC23" s="13" t="str">
        <f t="shared" ca="1" si="21"/>
        <v/>
      </c>
      <c r="ED23" s="13" t="str">
        <f t="shared" ca="1" si="21"/>
        <v/>
      </c>
      <c r="EE23" s="13" t="str">
        <f t="shared" ca="1" si="21"/>
        <v/>
      </c>
      <c r="EF23" s="13" t="str">
        <f t="shared" ca="1" si="21"/>
        <v/>
      </c>
      <c r="EG23" s="13" t="str">
        <f t="shared" ca="1" si="21"/>
        <v/>
      </c>
      <c r="EH23" s="13" t="str">
        <f t="shared" ca="1" si="21"/>
        <v/>
      </c>
      <c r="EI23" s="13" t="str">
        <f t="shared" ca="1" si="21"/>
        <v/>
      </c>
      <c r="EJ23" s="13" t="str">
        <f t="shared" ca="1" si="21"/>
        <v/>
      </c>
    </row>
    <row r="24" spans="1:140" s="1" customFormat="1" ht="40.15" customHeight="1" x14ac:dyDescent="0.25">
      <c r="A24" s="4"/>
      <c r="B24" s="52" t="s">
        <v>19</v>
      </c>
      <c r="C24" s="47" t="s">
        <v>6</v>
      </c>
      <c r="D24" s="71" t="s">
        <v>32</v>
      </c>
      <c r="E24" s="48" t="s">
        <v>25</v>
      </c>
      <c r="F24" s="49">
        <f>F21+4</f>
        <v>44367</v>
      </c>
      <c r="G24" s="50">
        <v>1</v>
      </c>
      <c r="H24" s="51"/>
      <c r="I24" s="13" t="str">
        <f t="shared" ca="1" si="17"/>
        <v/>
      </c>
      <c r="J24" s="13" t="str">
        <f t="shared" ca="1" si="17"/>
        <v/>
      </c>
      <c r="K24" s="13" t="str">
        <f t="shared" ca="1" si="17"/>
        <v/>
      </c>
      <c r="L24" s="13" t="str">
        <f t="shared" ca="1" si="17"/>
        <v/>
      </c>
      <c r="M24" s="13" t="str">
        <f t="shared" ca="1" si="17"/>
        <v/>
      </c>
      <c r="N24" s="13" t="str">
        <f t="shared" ca="1" si="17"/>
        <v/>
      </c>
      <c r="O24" s="13" t="str">
        <f t="shared" ca="1" si="17"/>
        <v/>
      </c>
      <c r="P24" s="13" t="str">
        <f t="shared" ca="1" si="17"/>
        <v/>
      </c>
      <c r="Q24" s="13" t="str">
        <f t="shared" ca="1" si="17"/>
        <v/>
      </c>
      <c r="R24" s="13" t="str">
        <f t="shared" ca="1" si="17"/>
        <v/>
      </c>
      <c r="S24" s="13" t="str">
        <f t="shared" ca="1" si="17"/>
        <v/>
      </c>
      <c r="T24" s="13" t="str">
        <f t="shared" ca="1" si="17"/>
        <v/>
      </c>
      <c r="U24" s="13" t="str">
        <f t="shared" ca="1" si="17"/>
        <v/>
      </c>
      <c r="V24" s="13" t="str">
        <f t="shared" ca="1" si="17"/>
        <v/>
      </c>
      <c r="W24" s="13" t="str">
        <f t="shared" ca="1" si="17"/>
        <v/>
      </c>
      <c r="X24" s="13" t="str">
        <f t="shared" ca="1" si="17"/>
        <v/>
      </c>
      <c r="Y24" s="13" t="str">
        <f t="shared" ca="1" si="18"/>
        <v/>
      </c>
      <c r="Z24" s="13" t="str">
        <f t="shared" ca="1" si="18"/>
        <v/>
      </c>
      <c r="AA24" s="13" t="str">
        <f t="shared" ca="1" si="18"/>
        <v/>
      </c>
      <c r="AB24" s="13" t="str">
        <f t="shared" ca="1" si="18"/>
        <v/>
      </c>
      <c r="AC24" s="13" t="str">
        <f t="shared" ca="1" si="18"/>
        <v/>
      </c>
      <c r="AD24" s="13" t="str">
        <f t="shared" ca="1" si="18"/>
        <v/>
      </c>
      <c r="AE24" s="13" t="str">
        <f t="shared" ca="1" si="18"/>
        <v/>
      </c>
      <c r="AF24" s="13" t="str">
        <f t="shared" ca="1" si="18"/>
        <v/>
      </c>
      <c r="AG24" s="13" t="str">
        <f t="shared" ca="1" si="18"/>
        <v/>
      </c>
      <c r="AH24" s="13" t="str">
        <f t="shared" ca="1" si="18"/>
        <v/>
      </c>
      <c r="AI24" s="13" t="str">
        <f t="shared" ca="1" si="18"/>
        <v/>
      </c>
      <c r="AJ24" s="13" t="str">
        <f t="shared" ca="1" si="18"/>
        <v/>
      </c>
      <c r="AK24" s="13">
        <f t="shared" ca="1" si="18"/>
        <v>1</v>
      </c>
      <c r="AL24" s="13" t="str">
        <f t="shared" ca="1" si="18"/>
        <v/>
      </c>
      <c r="AM24" s="13" t="str">
        <f t="shared" ca="1" si="18"/>
        <v/>
      </c>
      <c r="AN24" s="13" t="str">
        <f t="shared" ca="1" si="19"/>
        <v/>
      </c>
      <c r="AO24" s="13" t="str">
        <f t="shared" ca="1" si="19"/>
        <v/>
      </c>
      <c r="AP24" s="13" t="str">
        <f t="shared" ca="1" si="19"/>
        <v/>
      </c>
      <c r="AQ24" s="13" t="str">
        <f t="shared" ca="1" si="19"/>
        <v/>
      </c>
      <c r="AR24" s="13" t="str">
        <f t="shared" ca="1" si="19"/>
        <v/>
      </c>
      <c r="AS24" s="13" t="str">
        <f t="shared" ca="1" si="19"/>
        <v/>
      </c>
      <c r="AT24" s="13" t="str">
        <f t="shared" ca="1" si="19"/>
        <v/>
      </c>
      <c r="AU24" s="13" t="str">
        <f t="shared" ca="1" si="19"/>
        <v/>
      </c>
      <c r="AV24" s="13" t="str">
        <f t="shared" ca="1" si="19"/>
        <v/>
      </c>
      <c r="AW24" s="13" t="str">
        <f t="shared" ca="1" si="19"/>
        <v/>
      </c>
      <c r="AX24" s="13" t="str">
        <f t="shared" ca="1" si="19"/>
        <v/>
      </c>
      <c r="AY24" s="13" t="str">
        <f t="shared" ca="1" si="19"/>
        <v/>
      </c>
      <c r="AZ24" s="13" t="str">
        <f t="shared" ca="1" si="19"/>
        <v/>
      </c>
      <c r="BA24" s="13" t="str">
        <f t="shared" ca="1" si="19"/>
        <v/>
      </c>
      <c r="BB24" s="13" t="str">
        <f t="shared" ca="1" si="19"/>
        <v/>
      </c>
      <c r="BC24" s="13" t="str">
        <f t="shared" ca="1" si="19"/>
        <v/>
      </c>
      <c r="BD24" s="13" t="str">
        <f t="shared" ca="1" si="20"/>
        <v/>
      </c>
      <c r="BE24" s="13" t="str">
        <f t="shared" ca="1" si="20"/>
        <v/>
      </c>
      <c r="BF24" s="13" t="str">
        <f t="shared" ca="1" si="20"/>
        <v/>
      </c>
      <c r="BG24" s="13" t="str">
        <f t="shared" ca="1" si="20"/>
        <v/>
      </c>
      <c r="BH24" s="13" t="str">
        <f t="shared" ca="1" si="20"/>
        <v/>
      </c>
      <c r="BI24" s="13" t="str">
        <f t="shared" ca="1" si="20"/>
        <v/>
      </c>
      <c r="BJ24" s="13" t="str">
        <f t="shared" ca="1" si="20"/>
        <v/>
      </c>
      <c r="BK24" s="13" t="str">
        <f t="shared" ca="1" si="20"/>
        <v/>
      </c>
      <c r="BL24" s="13" t="str">
        <f t="shared" ca="1" si="20"/>
        <v/>
      </c>
      <c r="BM24" s="13" t="str">
        <f t="shared" ca="1" si="20"/>
        <v/>
      </c>
      <c r="BN24" s="13" t="str">
        <f t="shared" ca="1" si="20"/>
        <v/>
      </c>
      <c r="BO24" s="13" t="str">
        <f t="shared" ca="1" si="20"/>
        <v/>
      </c>
      <c r="BP24" s="13" t="str">
        <f t="shared" ca="1" si="20"/>
        <v/>
      </c>
      <c r="BQ24" s="13" t="str">
        <f t="shared" ca="1" si="20"/>
        <v/>
      </c>
      <c r="BR24" s="13" t="str">
        <f t="shared" ca="1" si="20"/>
        <v/>
      </c>
      <c r="BS24" s="13" t="str">
        <f t="shared" ca="1" si="22"/>
        <v/>
      </c>
      <c r="BT24" s="13" t="str">
        <f t="shared" ca="1" si="22"/>
        <v/>
      </c>
      <c r="BU24" s="13" t="str">
        <f t="shared" ca="1" si="22"/>
        <v/>
      </c>
      <c r="BV24" s="13" t="str">
        <f t="shared" ca="1" si="22"/>
        <v/>
      </c>
      <c r="BW24" s="13" t="str">
        <f t="shared" ca="1" si="22"/>
        <v/>
      </c>
      <c r="BX24" s="13" t="str">
        <f t="shared" ca="1" si="22"/>
        <v/>
      </c>
      <c r="BY24" s="13" t="str">
        <f t="shared" ca="1" si="22"/>
        <v/>
      </c>
      <c r="BZ24" s="13" t="str">
        <f t="shared" ca="1" si="22"/>
        <v/>
      </c>
      <c r="CA24" s="13" t="str">
        <f t="shared" ca="1" si="22"/>
        <v/>
      </c>
      <c r="CB24" s="13" t="str">
        <f t="shared" ca="1" si="22"/>
        <v/>
      </c>
      <c r="CC24" s="13" t="str">
        <f t="shared" ca="1" si="22"/>
        <v/>
      </c>
      <c r="CD24" s="13" t="str">
        <f t="shared" ca="1" si="22"/>
        <v/>
      </c>
      <c r="CE24" s="13" t="str">
        <f t="shared" ca="1" si="22"/>
        <v/>
      </c>
      <c r="CF24" s="13" t="str">
        <f t="shared" ca="1" si="22"/>
        <v/>
      </c>
      <c r="CG24" s="13" t="str">
        <f t="shared" ca="1" si="22"/>
        <v/>
      </c>
      <c r="CH24" s="13" t="str">
        <f t="shared" ca="1" si="22"/>
        <v/>
      </c>
      <c r="CI24" s="13" t="str">
        <f t="shared" ca="1" si="22"/>
        <v/>
      </c>
      <c r="CJ24" s="13" t="str">
        <f t="shared" ca="1" si="22"/>
        <v/>
      </c>
      <c r="CK24" s="13" t="str">
        <f t="shared" ca="1" si="22"/>
        <v/>
      </c>
      <c r="CL24" s="13" t="str">
        <f t="shared" ca="1" si="22"/>
        <v/>
      </c>
      <c r="CM24" s="13" t="str">
        <f t="shared" ca="1" si="21"/>
        <v/>
      </c>
      <c r="CN24" s="13" t="str">
        <f t="shared" ca="1" si="21"/>
        <v/>
      </c>
      <c r="CO24" s="13" t="str">
        <f t="shared" ca="1" si="21"/>
        <v/>
      </c>
      <c r="CP24" s="13" t="str">
        <f t="shared" ca="1" si="21"/>
        <v/>
      </c>
      <c r="CQ24" s="13" t="str">
        <f t="shared" ca="1" si="21"/>
        <v/>
      </c>
      <c r="CR24" s="13" t="str">
        <f t="shared" ca="1" si="21"/>
        <v/>
      </c>
      <c r="CS24" s="13" t="str">
        <f t="shared" ca="1" si="21"/>
        <v/>
      </c>
      <c r="CT24" s="13" t="str">
        <f t="shared" ca="1" si="21"/>
        <v/>
      </c>
      <c r="CU24" s="13" t="str">
        <f t="shared" ca="1" si="21"/>
        <v/>
      </c>
      <c r="CV24" s="13" t="str">
        <f t="shared" ca="1" si="21"/>
        <v/>
      </c>
      <c r="CW24" s="13" t="str">
        <f t="shared" ca="1" si="21"/>
        <v/>
      </c>
      <c r="CX24" s="13" t="str">
        <f t="shared" ca="1" si="21"/>
        <v/>
      </c>
      <c r="CY24" s="13" t="str">
        <f t="shared" ca="1" si="21"/>
        <v/>
      </c>
      <c r="CZ24" s="13" t="str">
        <f t="shared" ca="1" si="21"/>
        <v/>
      </c>
      <c r="DA24" s="13" t="str">
        <f t="shared" ca="1" si="21"/>
        <v/>
      </c>
      <c r="DB24" s="13" t="str">
        <f t="shared" ca="1" si="21"/>
        <v/>
      </c>
      <c r="DC24" s="13" t="str">
        <f t="shared" ca="1" si="21"/>
        <v/>
      </c>
      <c r="DD24" s="13" t="str">
        <f t="shared" ca="1" si="21"/>
        <v/>
      </c>
      <c r="DE24" s="13" t="str">
        <f t="shared" ca="1" si="21"/>
        <v/>
      </c>
      <c r="DF24" s="13" t="str">
        <f t="shared" ca="1" si="21"/>
        <v/>
      </c>
      <c r="DG24" s="13" t="str">
        <f t="shared" ca="1" si="21"/>
        <v/>
      </c>
      <c r="DH24" s="13" t="str">
        <f t="shared" ca="1" si="21"/>
        <v/>
      </c>
      <c r="DI24" s="13" t="str">
        <f t="shared" ca="1" si="21"/>
        <v/>
      </c>
      <c r="DJ24" s="13" t="str">
        <f t="shared" ca="1" si="21"/>
        <v/>
      </c>
      <c r="DK24" s="13" t="str">
        <f t="shared" ca="1" si="21"/>
        <v/>
      </c>
      <c r="DL24" s="13" t="str">
        <f t="shared" ca="1" si="21"/>
        <v/>
      </c>
      <c r="DM24" s="13" t="str">
        <f t="shared" ca="1" si="21"/>
        <v/>
      </c>
      <c r="DN24" s="13" t="str">
        <f t="shared" ca="1" si="21"/>
        <v/>
      </c>
      <c r="DO24" s="13" t="str">
        <f t="shared" ca="1" si="21"/>
        <v/>
      </c>
      <c r="DP24" s="13" t="str">
        <f t="shared" ca="1" si="21"/>
        <v/>
      </c>
      <c r="DQ24" s="13" t="str">
        <f t="shared" ca="1" si="21"/>
        <v/>
      </c>
      <c r="DR24" s="13" t="str">
        <f t="shared" ca="1" si="21"/>
        <v/>
      </c>
      <c r="DS24" s="13" t="str">
        <f t="shared" ca="1" si="21"/>
        <v/>
      </c>
      <c r="DT24" s="13" t="str">
        <f t="shared" ca="1" si="21"/>
        <v/>
      </c>
      <c r="DU24" s="13" t="str">
        <f t="shared" ca="1" si="21"/>
        <v/>
      </c>
      <c r="DV24" s="13" t="str">
        <f t="shared" ca="1" si="21"/>
        <v/>
      </c>
      <c r="DW24" s="13" t="str">
        <f t="shared" ca="1" si="21"/>
        <v/>
      </c>
      <c r="DX24" s="13" t="str">
        <f t="shared" ca="1" si="21"/>
        <v/>
      </c>
      <c r="DY24" s="13" t="str">
        <f t="shared" ca="1" si="21"/>
        <v/>
      </c>
      <c r="DZ24" s="13" t="str">
        <f t="shared" ca="1" si="21"/>
        <v/>
      </c>
      <c r="EA24" s="13" t="str">
        <f t="shared" ca="1" si="21"/>
        <v/>
      </c>
      <c r="EB24" s="13" t="str">
        <f t="shared" ca="1" si="21"/>
        <v/>
      </c>
      <c r="EC24" s="13" t="str">
        <f t="shared" ca="1" si="21"/>
        <v/>
      </c>
      <c r="ED24" s="13" t="str">
        <f t="shared" ca="1" si="21"/>
        <v/>
      </c>
      <c r="EE24" s="13" t="str">
        <f t="shared" ca="1" si="21"/>
        <v/>
      </c>
      <c r="EF24" s="13" t="str">
        <f t="shared" ca="1" si="21"/>
        <v/>
      </c>
      <c r="EG24" s="13" t="str">
        <f t="shared" ca="1" si="21"/>
        <v/>
      </c>
      <c r="EH24" s="13" t="str">
        <f t="shared" ca="1" si="21"/>
        <v/>
      </c>
      <c r="EI24" s="13" t="str">
        <f t="shared" ca="1" si="21"/>
        <v/>
      </c>
      <c r="EJ24" s="13" t="str">
        <f t="shared" ca="1" si="21"/>
        <v/>
      </c>
    </row>
    <row r="25" spans="1:140" s="1" customFormat="1" ht="40.15" customHeight="1" x14ac:dyDescent="0.25">
      <c r="A25" s="4"/>
      <c r="B25" s="52" t="s">
        <v>20</v>
      </c>
      <c r="C25" s="47" t="s">
        <v>10</v>
      </c>
      <c r="D25" s="47"/>
      <c r="E25" s="48">
        <v>0</v>
      </c>
      <c r="F25" s="49">
        <f>F21+1</f>
        <v>44364</v>
      </c>
      <c r="G25" s="50">
        <v>4</v>
      </c>
      <c r="H25" s="51"/>
      <c r="I25" s="13" t="str">
        <f t="shared" ca="1" si="17"/>
        <v/>
      </c>
      <c r="J25" s="13" t="str">
        <f t="shared" ca="1" si="17"/>
        <v/>
      </c>
      <c r="K25" s="13" t="str">
        <f t="shared" ca="1" si="17"/>
        <v/>
      </c>
      <c r="L25" s="13" t="str">
        <f t="shared" ca="1" si="17"/>
        <v/>
      </c>
      <c r="M25" s="13" t="str">
        <f t="shared" ca="1" si="17"/>
        <v/>
      </c>
      <c r="N25" s="13" t="str">
        <f t="shared" ca="1" si="17"/>
        <v/>
      </c>
      <c r="O25" s="13" t="str">
        <f t="shared" ca="1" si="17"/>
        <v/>
      </c>
      <c r="P25" s="13" t="str">
        <f t="shared" ca="1" si="17"/>
        <v/>
      </c>
      <c r="Q25" s="13" t="str">
        <f t="shared" ca="1" si="17"/>
        <v/>
      </c>
      <c r="R25" s="13" t="str">
        <f t="shared" ca="1" si="17"/>
        <v/>
      </c>
      <c r="S25" s="13" t="str">
        <f t="shared" ca="1" si="17"/>
        <v/>
      </c>
      <c r="T25" s="13" t="str">
        <f t="shared" ca="1" si="17"/>
        <v/>
      </c>
      <c r="U25" s="13" t="str">
        <f t="shared" ca="1" si="17"/>
        <v/>
      </c>
      <c r="V25" s="13" t="str">
        <f t="shared" ca="1" si="17"/>
        <v/>
      </c>
      <c r="W25" s="13" t="str">
        <f t="shared" ca="1" si="17"/>
        <v/>
      </c>
      <c r="X25" s="13" t="str">
        <f t="shared" ca="1" si="17"/>
        <v/>
      </c>
      <c r="Y25" s="13" t="str">
        <f t="shared" ca="1" si="18"/>
        <v/>
      </c>
      <c r="Z25" s="13" t="str">
        <f t="shared" ca="1" si="18"/>
        <v/>
      </c>
      <c r="AA25" s="13" t="str">
        <f t="shared" ca="1" si="18"/>
        <v/>
      </c>
      <c r="AB25" s="13" t="str">
        <f t="shared" ca="1" si="18"/>
        <v/>
      </c>
      <c r="AC25" s="13" t="str">
        <f t="shared" ca="1" si="18"/>
        <v/>
      </c>
      <c r="AD25" s="13" t="str">
        <f t="shared" ca="1" si="18"/>
        <v/>
      </c>
      <c r="AE25" s="13" t="str">
        <f t="shared" ca="1" si="18"/>
        <v/>
      </c>
      <c r="AF25" s="13" t="str">
        <f t="shared" ca="1" si="18"/>
        <v/>
      </c>
      <c r="AG25" s="13" t="str">
        <f t="shared" ca="1" si="18"/>
        <v/>
      </c>
      <c r="AH25" s="13" t="str">
        <f t="shared" ca="1" si="18"/>
        <v/>
      </c>
      <c r="AI25" s="13" t="str">
        <f t="shared" ca="1" si="18"/>
        <v/>
      </c>
      <c r="AJ25" s="13" t="str">
        <f t="shared" ca="1" si="18"/>
        <v/>
      </c>
      <c r="AK25" s="13" t="str">
        <f t="shared" ca="1" si="18"/>
        <v/>
      </c>
      <c r="AL25" s="13" t="str">
        <f t="shared" ca="1" si="18"/>
        <v/>
      </c>
      <c r="AM25" s="13" t="str">
        <f t="shared" ca="1" si="18"/>
        <v/>
      </c>
      <c r="AN25" s="13" t="str">
        <f t="shared" ca="1" si="19"/>
        <v/>
      </c>
      <c r="AO25" s="13" t="str">
        <f t="shared" ca="1" si="19"/>
        <v/>
      </c>
      <c r="AP25" s="13" t="str">
        <f t="shared" ca="1" si="19"/>
        <v/>
      </c>
      <c r="AQ25" s="13" t="str">
        <f t="shared" ca="1" si="19"/>
        <v/>
      </c>
      <c r="AR25" s="13" t="str">
        <f t="shared" ca="1" si="19"/>
        <v/>
      </c>
      <c r="AS25" s="13" t="str">
        <f t="shared" ca="1" si="19"/>
        <v/>
      </c>
      <c r="AT25" s="13" t="str">
        <f t="shared" ca="1" si="19"/>
        <v/>
      </c>
      <c r="AU25" s="13" t="str">
        <f t="shared" ca="1" si="19"/>
        <v/>
      </c>
      <c r="AV25" s="13" t="str">
        <f t="shared" ca="1" si="19"/>
        <v/>
      </c>
      <c r="AW25" s="13" t="str">
        <f t="shared" ca="1" si="19"/>
        <v/>
      </c>
      <c r="AX25" s="13" t="str">
        <f t="shared" ca="1" si="19"/>
        <v/>
      </c>
      <c r="AY25" s="13" t="str">
        <f t="shared" ca="1" si="19"/>
        <v/>
      </c>
      <c r="AZ25" s="13" t="str">
        <f t="shared" ca="1" si="19"/>
        <v/>
      </c>
      <c r="BA25" s="13" t="str">
        <f t="shared" ca="1" si="19"/>
        <v/>
      </c>
      <c r="BB25" s="13" t="str">
        <f t="shared" ca="1" si="19"/>
        <v/>
      </c>
      <c r="BC25" s="13" t="str">
        <f t="shared" ca="1" si="19"/>
        <v/>
      </c>
      <c r="BD25" s="13" t="str">
        <f t="shared" ca="1" si="20"/>
        <v/>
      </c>
      <c r="BE25" s="13" t="str">
        <f t="shared" ca="1" si="20"/>
        <v/>
      </c>
      <c r="BF25" s="13" t="str">
        <f t="shared" ca="1" si="20"/>
        <v/>
      </c>
      <c r="BG25" s="13" t="str">
        <f t="shared" ca="1" si="20"/>
        <v/>
      </c>
      <c r="BH25" s="13" t="str">
        <f t="shared" ca="1" si="20"/>
        <v/>
      </c>
      <c r="BI25" s="13" t="str">
        <f t="shared" ca="1" si="20"/>
        <v/>
      </c>
      <c r="BJ25" s="13" t="str">
        <f t="shared" ca="1" si="20"/>
        <v/>
      </c>
      <c r="BK25" s="13" t="str">
        <f t="shared" ca="1" si="20"/>
        <v/>
      </c>
      <c r="BL25" s="13" t="str">
        <f t="shared" ca="1" si="20"/>
        <v/>
      </c>
      <c r="BM25" s="13" t="str">
        <f t="shared" ca="1" si="20"/>
        <v/>
      </c>
      <c r="BN25" s="13" t="str">
        <f t="shared" ca="1" si="20"/>
        <v/>
      </c>
      <c r="BO25" s="13" t="str">
        <f t="shared" ca="1" si="20"/>
        <v/>
      </c>
      <c r="BP25" s="13" t="str">
        <f t="shared" ca="1" si="20"/>
        <v/>
      </c>
      <c r="BQ25" s="13" t="str">
        <f t="shared" ca="1" si="20"/>
        <v/>
      </c>
      <c r="BR25" s="13" t="str">
        <f t="shared" ca="1" si="20"/>
        <v/>
      </c>
      <c r="BS25" s="13" t="str">
        <f t="shared" ca="1" si="22"/>
        <v/>
      </c>
      <c r="BT25" s="13" t="str">
        <f t="shared" ca="1" si="22"/>
        <v/>
      </c>
      <c r="BU25" s="13" t="str">
        <f t="shared" ca="1" si="22"/>
        <v/>
      </c>
      <c r="BV25" s="13" t="str">
        <f t="shared" ca="1" si="22"/>
        <v/>
      </c>
      <c r="BW25" s="13" t="str">
        <f t="shared" ca="1" si="22"/>
        <v/>
      </c>
      <c r="BX25" s="13" t="str">
        <f t="shared" ca="1" si="22"/>
        <v/>
      </c>
      <c r="BY25" s="13" t="str">
        <f t="shared" ca="1" si="22"/>
        <v/>
      </c>
      <c r="BZ25" s="13" t="str">
        <f t="shared" ca="1" si="22"/>
        <v/>
      </c>
      <c r="CA25" s="13" t="str">
        <f t="shared" ca="1" si="22"/>
        <v/>
      </c>
      <c r="CB25" s="13" t="str">
        <f t="shared" ca="1" si="22"/>
        <v/>
      </c>
      <c r="CC25" s="13" t="str">
        <f t="shared" ca="1" si="22"/>
        <v/>
      </c>
      <c r="CD25" s="13" t="str">
        <f t="shared" ca="1" si="22"/>
        <v/>
      </c>
      <c r="CE25" s="13" t="str">
        <f t="shared" ca="1" si="22"/>
        <v/>
      </c>
      <c r="CF25" s="13" t="str">
        <f t="shared" ca="1" si="22"/>
        <v/>
      </c>
      <c r="CG25" s="13" t="str">
        <f t="shared" ca="1" si="22"/>
        <v/>
      </c>
      <c r="CH25" s="13" t="str">
        <f t="shared" ca="1" si="22"/>
        <v/>
      </c>
      <c r="CI25" s="13" t="str">
        <f t="shared" ca="1" si="22"/>
        <v/>
      </c>
      <c r="CJ25" s="13" t="str">
        <f t="shared" ca="1" si="22"/>
        <v/>
      </c>
      <c r="CK25" s="13" t="str">
        <f t="shared" ca="1" si="22"/>
        <v/>
      </c>
      <c r="CL25" s="13" t="str">
        <f t="shared" ca="1" si="22"/>
        <v/>
      </c>
      <c r="CM25" s="13" t="str">
        <f t="shared" ca="1" si="21"/>
        <v/>
      </c>
      <c r="CN25" s="13" t="str">
        <f t="shared" ca="1" si="21"/>
        <v/>
      </c>
      <c r="CO25" s="13" t="str">
        <f t="shared" ca="1" si="21"/>
        <v/>
      </c>
      <c r="CP25" s="13" t="str">
        <f t="shared" ca="1" si="21"/>
        <v/>
      </c>
      <c r="CQ25" s="13" t="str">
        <f t="shared" ca="1" si="21"/>
        <v/>
      </c>
      <c r="CR25" s="13" t="str">
        <f t="shared" ca="1" si="21"/>
        <v/>
      </c>
      <c r="CS25" s="13" t="str">
        <f t="shared" ca="1" si="21"/>
        <v/>
      </c>
      <c r="CT25" s="13" t="str">
        <f t="shared" ca="1" si="21"/>
        <v/>
      </c>
      <c r="CU25" s="13" t="str">
        <f t="shared" ca="1" si="21"/>
        <v/>
      </c>
      <c r="CV25" s="13" t="str">
        <f t="shared" ca="1" si="21"/>
        <v/>
      </c>
      <c r="CW25" s="13" t="str">
        <f t="shared" ca="1" si="21"/>
        <v/>
      </c>
      <c r="CX25" s="13" t="str">
        <f t="shared" ca="1" si="21"/>
        <v/>
      </c>
      <c r="CY25" s="13" t="str">
        <f t="shared" ca="1" si="21"/>
        <v/>
      </c>
      <c r="CZ25" s="13" t="str">
        <f t="shared" ca="1" si="21"/>
        <v/>
      </c>
      <c r="DA25" s="13" t="str">
        <f t="shared" ca="1" si="21"/>
        <v/>
      </c>
      <c r="DB25" s="13" t="str">
        <f t="shared" ca="1" si="21"/>
        <v/>
      </c>
      <c r="DC25" s="13" t="str">
        <f t="shared" ca="1" si="21"/>
        <v/>
      </c>
      <c r="DD25" s="13" t="str">
        <f t="shared" ca="1" si="21"/>
        <v/>
      </c>
      <c r="DE25" s="13" t="str">
        <f t="shared" ca="1" si="21"/>
        <v/>
      </c>
      <c r="DF25" s="13" t="str">
        <f t="shared" ca="1" si="21"/>
        <v/>
      </c>
      <c r="DG25" s="13" t="str">
        <f t="shared" ca="1" si="21"/>
        <v/>
      </c>
      <c r="DH25" s="13" t="str">
        <f t="shared" ca="1" si="21"/>
        <v/>
      </c>
      <c r="DI25" s="13" t="str">
        <f t="shared" ca="1" si="21"/>
        <v/>
      </c>
      <c r="DJ25" s="13" t="str">
        <f t="shared" ca="1" si="21"/>
        <v/>
      </c>
      <c r="DK25" s="13" t="str">
        <f t="shared" ca="1" si="21"/>
        <v/>
      </c>
      <c r="DL25" s="13" t="str">
        <f t="shared" ca="1" si="21"/>
        <v/>
      </c>
      <c r="DM25" s="13" t="str">
        <f t="shared" ca="1" si="21"/>
        <v/>
      </c>
      <c r="DN25" s="13" t="str">
        <f t="shared" ca="1" si="21"/>
        <v/>
      </c>
      <c r="DO25" s="13" t="str">
        <f t="shared" ca="1" si="21"/>
        <v/>
      </c>
      <c r="DP25" s="13" t="str">
        <f t="shared" ca="1" si="21"/>
        <v/>
      </c>
      <c r="DQ25" s="13" t="str">
        <f t="shared" ca="1" si="21"/>
        <v/>
      </c>
      <c r="DR25" s="13" t="str">
        <f t="shared" ca="1" si="21"/>
        <v/>
      </c>
      <c r="DS25" s="13" t="str">
        <f t="shared" ca="1" si="21"/>
        <v/>
      </c>
      <c r="DT25" s="13" t="str">
        <f t="shared" ca="1" si="21"/>
        <v/>
      </c>
      <c r="DU25" s="13" t="str">
        <f t="shared" ca="1" si="21"/>
        <v/>
      </c>
      <c r="DV25" s="13" t="str">
        <f t="shared" ca="1" si="21"/>
        <v/>
      </c>
      <c r="DW25" s="13" t="str">
        <f t="shared" ca="1" si="21"/>
        <v/>
      </c>
      <c r="DX25" s="13" t="str">
        <f t="shared" ca="1" si="21"/>
        <v/>
      </c>
      <c r="DY25" s="13" t="str">
        <f t="shared" ca="1" si="21"/>
        <v/>
      </c>
      <c r="DZ25" s="13" t="str">
        <f t="shared" ca="1" si="21"/>
        <v/>
      </c>
      <c r="EA25" s="13" t="str">
        <f t="shared" ca="1" si="21"/>
        <v/>
      </c>
      <c r="EB25" s="13" t="str">
        <f t="shared" ca="1" si="21"/>
        <v/>
      </c>
      <c r="EC25" s="13" t="str">
        <f t="shared" ca="1" si="21"/>
        <v/>
      </c>
      <c r="ED25" s="13" t="str">
        <f t="shared" ca="1" si="21"/>
        <v/>
      </c>
      <c r="EE25" s="13" t="str">
        <f t="shared" ca="1" si="21"/>
        <v/>
      </c>
      <c r="EF25" s="13" t="str">
        <f t="shared" ca="1" si="21"/>
        <v/>
      </c>
      <c r="EG25" s="13" t="str">
        <f t="shared" ca="1" si="21"/>
        <v/>
      </c>
      <c r="EH25" s="13" t="str">
        <f t="shared" ca="1" si="21"/>
        <v/>
      </c>
      <c r="EI25" s="13" t="str">
        <f t="shared" ca="1" si="21"/>
        <v/>
      </c>
      <c r="EJ25" s="13" t="str">
        <f t="shared" ca="1" si="21"/>
        <v/>
      </c>
    </row>
    <row r="26" spans="1:140" s="1" customFormat="1" ht="40.15" customHeight="1" x14ac:dyDescent="0.25">
      <c r="A26" s="4"/>
      <c r="B26" s="46" t="s">
        <v>33</v>
      </c>
      <c r="C26" s="47"/>
      <c r="D26" s="47"/>
      <c r="E26" s="48"/>
      <c r="F26" s="49"/>
      <c r="G26" s="50"/>
      <c r="H26" s="51"/>
      <c r="I26" s="13" t="str">
        <f t="shared" ca="1" si="17"/>
        <v/>
      </c>
      <c r="J26" s="13" t="str">
        <f t="shared" ca="1" si="17"/>
        <v/>
      </c>
      <c r="K26" s="13" t="str">
        <f t="shared" ca="1" si="17"/>
        <v/>
      </c>
      <c r="L26" s="13" t="str">
        <f t="shared" ca="1" si="17"/>
        <v/>
      </c>
      <c r="M26" s="13" t="str">
        <f t="shared" ca="1" si="17"/>
        <v/>
      </c>
      <c r="N26" s="13" t="str">
        <f t="shared" ca="1" si="17"/>
        <v/>
      </c>
      <c r="O26" s="13" t="str">
        <f t="shared" ca="1" si="17"/>
        <v/>
      </c>
      <c r="P26" s="13" t="str">
        <f t="shared" ca="1" si="17"/>
        <v/>
      </c>
      <c r="Q26" s="13" t="str">
        <f t="shared" ca="1" si="17"/>
        <v/>
      </c>
      <c r="R26" s="13" t="str">
        <f t="shared" ca="1" si="17"/>
        <v/>
      </c>
      <c r="S26" s="13" t="str">
        <f t="shared" ca="1" si="17"/>
        <v/>
      </c>
      <c r="T26" s="13" t="str">
        <f t="shared" ca="1" si="17"/>
        <v/>
      </c>
      <c r="U26" s="13" t="str">
        <f t="shared" ca="1" si="17"/>
        <v/>
      </c>
      <c r="V26" s="13" t="str">
        <f t="shared" ca="1" si="17"/>
        <v/>
      </c>
      <c r="W26" s="13" t="str">
        <f t="shared" ca="1" si="17"/>
        <v/>
      </c>
      <c r="X26" s="13" t="str">
        <f t="shared" ca="1" si="17"/>
        <v/>
      </c>
      <c r="Y26" s="13" t="str">
        <f t="shared" ca="1" si="18"/>
        <v/>
      </c>
      <c r="Z26" s="13" t="str">
        <f t="shared" ca="1" si="18"/>
        <v/>
      </c>
      <c r="AA26" s="13" t="str">
        <f t="shared" ca="1" si="18"/>
        <v/>
      </c>
      <c r="AB26" s="13" t="str">
        <f t="shared" ca="1" si="18"/>
        <v/>
      </c>
      <c r="AC26" s="13" t="str">
        <f t="shared" ca="1" si="18"/>
        <v/>
      </c>
      <c r="AD26" s="13" t="str">
        <f t="shared" ca="1" si="18"/>
        <v/>
      </c>
      <c r="AE26" s="13" t="str">
        <f t="shared" ca="1" si="18"/>
        <v/>
      </c>
      <c r="AF26" s="13" t="str">
        <f t="shared" ca="1" si="18"/>
        <v/>
      </c>
      <c r="AG26" s="13" t="str">
        <f t="shared" ca="1" si="18"/>
        <v/>
      </c>
      <c r="AH26" s="13" t="str">
        <f t="shared" ca="1" si="18"/>
        <v/>
      </c>
      <c r="AI26" s="13" t="str">
        <f t="shared" ca="1" si="18"/>
        <v/>
      </c>
      <c r="AJ26" s="13" t="str">
        <f t="shared" ca="1" si="18"/>
        <v/>
      </c>
      <c r="AK26" s="13" t="str">
        <f t="shared" ca="1" si="18"/>
        <v/>
      </c>
      <c r="AL26" s="13" t="str">
        <f t="shared" ca="1" si="18"/>
        <v/>
      </c>
      <c r="AM26" s="13" t="str">
        <f t="shared" ca="1" si="18"/>
        <v/>
      </c>
      <c r="AN26" s="13" t="str">
        <f t="shared" ca="1" si="19"/>
        <v/>
      </c>
      <c r="AO26" s="13" t="str">
        <f t="shared" ca="1" si="19"/>
        <v/>
      </c>
      <c r="AP26" s="13" t="str">
        <f t="shared" ca="1" si="19"/>
        <v/>
      </c>
      <c r="AQ26" s="13" t="str">
        <f t="shared" ca="1" si="19"/>
        <v/>
      </c>
      <c r="AR26" s="13" t="str">
        <f t="shared" ca="1" si="19"/>
        <v/>
      </c>
      <c r="AS26" s="13" t="str">
        <f t="shared" ca="1" si="19"/>
        <v/>
      </c>
      <c r="AT26" s="13" t="str">
        <f t="shared" ca="1" si="19"/>
        <v/>
      </c>
      <c r="AU26" s="13" t="str">
        <f t="shared" ca="1" si="19"/>
        <v/>
      </c>
      <c r="AV26" s="13" t="str">
        <f t="shared" ca="1" si="19"/>
        <v/>
      </c>
      <c r="AW26" s="13" t="str">
        <f t="shared" ca="1" si="19"/>
        <v/>
      </c>
      <c r="AX26" s="13" t="str">
        <f t="shared" ca="1" si="19"/>
        <v/>
      </c>
      <c r="AY26" s="13" t="str">
        <f t="shared" ca="1" si="19"/>
        <v/>
      </c>
      <c r="AZ26" s="13" t="str">
        <f t="shared" ca="1" si="19"/>
        <v/>
      </c>
      <c r="BA26" s="13" t="str">
        <f t="shared" ca="1" si="19"/>
        <v/>
      </c>
      <c r="BB26" s="13" t="str">
        <f t="shared" ca="1" si="19"/>
        <v/>
      </c>
      <c r="BC26" s="13" t="str">
        <f t="shared" ca="1" si="19"/>
        <v/>
      </c>
      <c r="BD26" s="13" t="str">
        <f t="shared" ca="1" si="20"/>
        <v/>
      </c>
      <c r="BE26" s="13" t="str">
        <f t="shared" ca="1" si="20"/>
        <v/>
      </c>
      <c r="BF26" s="13" t="str">
        <f t="shared" ca="1" si="20"/>
        <v/>
      </c>
      <c r="BG26" s="13" t="str">
        <f t="shared" ca="1" si="20"/>
        <v/>
      </c>
      <c r="BH26" s="13" t="str">
        <f t="shared" ca="1" si="20"/>
        <v/>
      </c>
      <c r="BI26" s="13" t="str">
        <f t="shared" ca="1" si="20"/>
        <v/>
      </c>
      <c r="BJ26" s="13" t="str">
        <f t="shared" ca="1" si="20"/>
        <v/>
      </c>
      <c r="BK26" s="13" t="str">
        <f t="shared" ca="1" si="20"/>
        <v/>
      </c>
      <c r="BL26" s="13" t="str">
        <f t="shared" ca="1" si="20"/>
        <v/>
      </c>
      <c r="BM26" s="13" t="str">
        <f t="shared" ca="1" si="20"/>
        <v/>
      </c>
      <c r="BN26" s="13" t="str">
        <f t="shared" ca="1" si="20"/>
        <v/>
      </c>
      <c r="BO26" s="13" t="str">
        <f t="shared" ca="1" si="20"/>
        <v/>
      </c>
      <c r="BP26" s="13" t="str">
        <f t="shared" ca="1" si="20"/>
        <v/>
      </c>
      <c r="BQ26" s="13" t="str">
        <f t="shared" ca="1" si="20"/>
        <v/>
      </c>
      <c r="BR26" s="13" t="str">
        <f t="shared" ca="1" si="20"/>
        <v/>
      </c>
      <c r="BS26" s="13" t="str">
        <f t="shared" ca="1" si="22"/>
        <v/>
      </c>
      <c r="BT26" s="13" t="str">
        <f t="shared" ca="1" si="22"/>
        <v/>
      </c>
      <c r="BU26" s="13" t="str">
        <f t="shared" ca="1" si="22"/>
        <v/>
      </c>
      <c r="BV26" s="13" t="str">
        <f t="shared" ca="1" si="22"/>
        <v/>
      </c>
      <c r="BW26" s="13" t="str">
        <f t="shared" ca="1" si="22"/>
        <v/>
      </c>
      <c r="BX26" s="13" t="str">
        <f t="shared" ca="1" si="22"/>
        <v/>
      </c>
      <c r="BY26" s="13" t="str">
        <f t="shared" ca="1" si="22"/>
        <v/>
      </c>
      <c r="BZ26" s="13" t="str">
        <f t="shared" ca="1" si="22"/>
        <v/>
      </c>
      <c r="CA26" s="13" t="str">
        <f t="shared" ca="1" si="22"/>
        <v/>
      </c>
      <c r="CB26" s="13" t="str">
        <f t="shared" ca="1" si="22"/>
        <v/>
      </c>
      <c r="CC26" s="13" t="str">
        <f t="shared" ca="1" si="22"/>
        <v/>
      </c>
      <c r="CD26" s="13" t="str">
        <f t="shared" ca="1" si="22"/>
        <v/>
      </c>
      <c r="CE26" s="13" t="str">
        <f t="shared" ca="1" si="22"/>
        <v/>
      </c>
      <c r="CF26" s="13" t="str">
        <f t="shared" ca="1" si="22"/>
        <v/>
      </c>
      <c r="CG26" s="13" t="str">
        <f t="shared" ca="1" si="22"/>
        <v/>
      </c>
      <c r="CH26" s="13" t="str">
        <f t="shared" ca="1" si="22"/>
        <v/>
      </c>
      <c r="CI26" s="13" t="str">
        <f t="shared" ca="1" si="22"/>
        <v/>
      </c>
      <c r="CJ26" s="13" t="str">
        <f t="shared" ca="1" si="22"/>
        <v/>
      </c>
      <c r="CK26" s="13" t="str">
        <f t="shared" ca="1" si="22"/>
        <v/>
      </c>
      <c r="CL26" s="13" t="str">
        <f t="shared" ca="1" si="22"/>
        <v/>
      </c>
      <c r="CM26" s="13" t="str">
        <f t="shared" ca="1" si="21"/>
        <v/>
      </c>
      <c r="CN26" s="13" t="str">
        <f t="shared" ca="1" si="21"/>
        <v/>
      </c>
      <c r="CO26" s="13" t="str">
        <f t="shared" ca="1" si="21"/>
        <v/>
      </c>
      <c r="CP26" s="13" t="str">
        <f t="shared" ca="1" si="21"/>
        <v/>
      </c>
      <c r="CQ26" s="13" t="str">
        <f t="shared" ca="1" si="21"/>
        <v/>
      </c>
      <c r="CR26" s="13" t="str">
        <f t="shared" ca="1" si="21"/>
        <v/>
      </c>
      <c r="CS26" s="13" t="str">
        <f t="shared" ca="1" si="21"/>
        <v/>
      </c>
      <c r="CT26" s="13" t="str">
        <f t="shared" ca="1" si="21"/>
        <v/>
      </c>
      <c r="CU26" s="13" t="str">
        <f t="shared" ca="1" si="21"/>
        <v/>
      </c>
      <c r="CV26" s="13" t="str">
        <f t="shared" ca="1" si="21"/>
        <v/>
      </c>
      <c r="CW26" s="13" t="str">
        <f t="shared" ca="1" si="21"/>
        <v/>
      </c>
      <c r="CX26" s="13" t="str">
        <f t="shared" ca="1" si="21"/>
        <v/>
      </c>
      <c r="CY26" s="13" t="str">
        <f t="shared" ca="1" si="21"/>
        <v/>
      </c>
      <c r="CZ26" s="13" t="str">
        <f t="shared" ca="1" si="21"/>
        <v/>
      </c>
      <c r="DA26" s="13" t="str">
        <f t="shared" ca="1" si="21"/>
        <v/>
      </c>
      <c r="DB26" s="13" t="str">
        <f t="shared" ref="CM26:EJ31" ca="1" si="23">IF(AND($C26="目標",DB$7&gt;=$F26,DB$7&lt;=$F26+$G26-1),2,IF(AND($C26="マイルストーン",DB$7&gt;=$F26,DB$7&lt;=$F26+$G26-1),1,""))</f>
        <v/>
      </c>
      <c r="DC26" s="13" t="str">
        <f t="shared" ca="1" si="23"/>
        <v/>
      </c>
      <c r="DD26" s="13" t="str">
        <f t="shared" ca="1" si="23"/>
        <v/>
      </c>
      <c r="DE26" s="13" t="str">
        <f t="shared" ca="1" si="23"/>
        <v/>
      </c>
      <c r="DF26" s="13" t="str">
        <f t="shared" ca="1" si="23"/>
        <v/>
      </c>
      <c r="DG26" s="13" t="str">
        <f t="shared" ca="1" si="23"/>
        <v/>
      </c>
      <c r="DH26" s="13" t="str">
        <f t="shared" ca="1" si="23"/>
        <v/>
      </c>
      <c r="DI26" s="13" t="str">
        <f t="shared" ca="1" si="23"/>
        <v/>
      </c>
      <c r="DJ26" s="13" t="str">
        <f t="shared" ca="1" si="23"/>
        <v/>
      </c>
      <c r="DK26" s="13" t="str">
        <f t="shared" ca="1" si="23"/>
        <v/>
      </c>
      <c r="DL26" s="13" t="str">
        <f t="shared" ca="1" si="23"/>
        <v/>
      </c>
      <c r="DM26" s="13" t="str">
        <f t="shared" ca="1" si="23"/>
        <v/>
      </c>
      <c r="DN26" s="13" t="str">
        <f t="shared" ca="1" si="23"/>
        <v/>
      </c>
      <c r="DO26" s="13" t="str">
        <f t="shared" ca="1" si="23"/>
        <v/>
      </c>
      <c r="DP26" s="13" t="str">
        <f t="shared" ca="1" si="23"/>
        <v/>
      </c>
      <c r="DQ26" s="13" t="str">
        <f t="shared" ca="1" si="23"/>
        <v/>
      </c>
      <c r="DR26" s="13" t="str">
        <f t="shared" ca="1" si="23"/>
        <v/>
      </c>
      <c r="DS26" s="13" t="str">
        <f t="shared" ca="1" si="23"/>
        <v/>
      </c>
      <c r="DT26" s="13" t="str">
        <f t="shared" ca="1" si="23"/>
        <v/>
      </c>
      <c r="DU26" s="13" t="str">
        <f t="shared" ca="1" si="23"/>
        <v/>
      </c>
      <c r="DV26" s="13" t="str">
        <f t="shared" ca="1" si="23"/>
        <v/>
      </c>
      <c r="DW26" s="13" t="str">
        <f t="shared" ca="1" si="23"/>
        <v/>
      </c>
      <c r="DX26" s="13" t="str">
        <f t="shared" ca="1" si="23"/>
        <v/>
      </c>
      <c r="DY26" s="13" t="str">
        <f t="shared" ca="1" si="23"/>
        <v/>
      </c>
      <c r="DZ26" s="13" t="str">
        <f t="shared" ca="1" si="23"/>
        <v/>
      </c>
      <c r="EA26" s="13" t="str">
        <f t="shared" ca="1" si="23"/>
        <v/>
      </c>
      <c r="EB26" s="13" t="str">
        <f t="shared" ca="1" si="23"/>
        <v/>
      </c>
      <c r="EC26" s="13" t="str">
        <f t="shared" ca="1" si="23"/>
        <v/>
      </c>
      <c r="ED26" s="13" t="str">
        <f t="shared" ca="1" si="23"/>
        <v/>
      </c>
      <c r="EE26" s="13" t="str">
        <f t="shared" ca="1" si="23"/>
        <v/>
      </c>
      <c r="EF26" s="13" t="str">
        <f t="shared" ca="1" si="23"/>
        <v/>
      </c>
      <c r="EG26" s="13" t="str">
        <f t="shared" ca="1" si="23"/>
        <v/>
      </c>
      <c r="EH26" s="13" t="str">
        <f t="shared" ca="1" si="23"/>
        <v/>
      </c>
      <c r="EI26" s="13" t="str">
        <f t="shared" ca="1" si="23"/>
        <v/>
      </c>
      <c r="EJ26" s="13" t="str">
        <f t="shared" ca="1" si="23"/>
        <v/>
      </c>
    </row>
    <row r="27" spans="1:140" s="1" customFormat="1" ht="40.15" customHeight="1" x14ac:dyDescent="0.25">
      <c r="A27" s="4"/>
      <c r="B27" s="52" t="s">
        <v>19</v>
      </c>
      <c r="C27" s="47" t="s">
        <v>6</v>
      </c>
      <c r="D27" s="71" t="s">
        <v>32</v>
      </c>
      <c r="E27" s="48" t="s">
        <v>25</v>
      </c>
      <c r="F27" s="49">
        <f>F24+7</f>
        <v>44374</v>
      </c>
      <c r="G27" s="50">
        <v>1</v>
      </c>
      <c r="H27" s="51"/>
      <c r="I27" s="13" t="str">
        <f t="shared" ca="1" si="17"/>
        <v/>
      </c>
      <c r="J27" s="13" t="str">
        <f t="shared" ca="1" si="17"/>
        <v/>
      </c>
      <c r="K27" s="13" t="str">
        <f t="shared" ca="1" si="17"/>
        <v/>
      </c>
      <c r="L27" s="13" t="str">
        <f t="shared" ca="1" si="17"/>
        <v/>
      </c>
      <c r="M27" s="13" t="str">
        <f t="shared" ca="1" si="17"/>
        <v/>
      </c>
      <c r="N27" s="13" t="str">
        <f t="shared" ca="1" si="17"/>
        <v/>
      </c>
      <c r="O27" s="13" t="str">
        <f t="shared" ca="1" si="17"/>
        <v/>
      </c>
      <c r="P27" s="13" t="str">
        <f t="shared" ca="1" si="17"/>
        <v/>
      </c>
      <c r="Q27" s="13" t="str">
        <f t="shared" ca="1" si="17"/>
        <v/>
      </c>
      <c r="R27" s="13" t="str">
        <f t="shared" ca="1" si="17"/>
        <v/>
      </c>
      <c r="S27" s="13" t="str">
        <f t="shared" ca="1" si="17"/>
        <v/>
      </c>
      <c r="T27" s="13" t="str">
        <f t="shared" ca="1" si="17"/>
        <v/>
      </c>
      <c r="U27" s="13" t="str">
        <f t="shared" ca="1" si="17"/>
        <v/>
      </c>
      <c r="V27" s="13" t="str">
        <f t="shared" ca="1" si="17"/>
        <v/>
      </c>
      <c r="W27" s="13" t="str">
        <f t="shared" ca="1" si="17"/>
        <v/>
      </c>
      <c r="X27" s="13" t="str">
        <f t="shared" ca="1" si="17"/>
        <v/>
      </c>
      <c r="Y27" s="13" t="str">
        <f t="shared" ca="1" si="18"/>
        <v/>
      </c>
      <c r="Z27" s="13" t="str">
        <f t="shared" ca="1" si="18"/>
        <v/>
      </c>
      <c r="AA27" s="13" t="str">
        <f t="shared" ca="1" si="18"/>
        <v/>
      </c>
      <c r="AB27" s="13" t="str">
        <f t="shared" ca="1" si="18"/>
        <v/>
      </c>
      <c r="AC27" s="13" t="str">
        <f t="shared" ca="1" si="18"/>
        <v/>
      </c>
      <c r="AD27" s="13" t="str">
        <f t="shared" ca="1" si="18"/>
        <v/>
      </c>
      <c r="AE27" s="13" t="str">
        <f t="shared" ca="1" si="18"/>
        <v/>
      </c>
      <c r="AF27" s="13" t="str">
        <f t="shared" ca="1" si="18"/>
        <v/>
      </c>
      <c r="AG27" s="13" t="str">
        <f t="shared" ca="1" si="18"/>
        <v/>
      </c>
      <c r="AH27" s="13" t="str">
        <f t="shared" ca="1" si="18"/>
        <v/>
      </c>
      <c r="AI27" s="13" t="str">
        <f t="shared" ca="1" si="18"/>
        <v/>
      </c>
      <c r="AJ27" s="13" t="str">
        <f t="shared" ca="1" si="18"/>
        <v/>
      </c>
      <c r="AK27" s="13" t="str">
        <f t="shared" ca="1" si="18"/>
        <v/>
      </c>
      <c r="AL27" s="13" t="str">
        <f t="shared" ca="1" si="18"/>
        <v/>
      </c>
      <c r="AM27" s="13" t="str">
        <f t="shared" ca="1" si="18"/>
        <v/>
      </c>
      <c r="AN27" s="13" t="str">
        <f t="shared" ca="1" si="19"/>
        <v/>
      </c>
      <c r="AO27" s="13" t="str">
        <f t="shared" ca="1" si="19"/>
        <v/>
      </c>
      <c r="AP27" s="13" t="str">
        <f t="shared" ca="1" si="19"/>
        <v/>
      </c>
      <c r="AQ27" s="13" t="str">
        <f t="shared" ca="1" si="19"/>
        <v/>
      </c>
      <c r="AR27" s="13">
        <f t="shared" ca="1" si="19"/>
        <v>1</v>
      </c>
      <c r="AS27" s="13" t="str">
        <f t="shared" ca="1" si="19"/>
        <v/>
      </c>
      <c r="AT27" s="13" t="str">
        <f t="shared" ca="1" si="19"/>
        <v/>
      </c>
      <c r="AU27" s="13" t="str">
        <f t="shared" ca="1" si="19"/>
        <v/>
      </c>
      <c r="AV27" s="13" t="str">
        <f t="shared" ca="1" si="19"/>
        <v/>
      </c>
      <c r="AW27" s="13" t="str">
        <f t="shared" ca="1" si="19"/>
        <v/>
      </c>
      <c r="AX27" s="13" t="str">
        <f t="shared" ca="1" si="19"/>
        <v/>
      </c>
      <c r="AY27" s="13" t="str">
        <f t="shared" ca="1" si="19"/>
        <v/>
      </c>
      <c r="AZ27" s="13" t="str">
        <f t="shared" ca="1" si="19"/>
        <v/>
      </c>
      <c r="BA27" s="13" t="str">
        <f t="shared" ca="1" si="19"/>
        <v/>
      </c>
      <c r="BB27" s="13" t="str">
        <f t="shared" ca="1" si="19"/>
        <v/>
      </c>
      <c r="BC27" s="13" t="str">
        <f t="shared" ca="1" si="19"/>
        <v/>
      </c>
      <c r="BD27" s="13" t="str">
        <f t="shared" ca="1" si="20"/>
        <v/>
      </c>
      <c r="BE27" s="13" t="str">
        <f t="shared" ca="1" si="20"/>
        <v/>
      </c>
      <c r="BF27" s="13" t="str">
        <f t="shared" ca="1" si="20"/>
        <v/>
      </c>
      <c r="BG27" s="13" t="str">
        <f t="shared" ca="1" si="20"/>
        <v/>
      </c>
      <c r="BH27" s="13" t="str">
        <f t="shared" ca="1" si="20"/>
        <v/>
      </c>
      <c r="BI27" s="13" t="str">
        <f t="shared" ca="1" si="20"/>
        <v/>
      </c>
      <c r="BJ27" s="13" t="str">
        <f t="shared" ca="1" si="20"/>
        <v/>
      </c>
      <c r="BK27" s="13" t="str">
        <f t="shared" ca="1" si="20"/>
        <v/>
      </c>
      <c r="BL27" s="13" t="str">
        <f t="shared" ca="1" si="20"/>
        <v/>
      </c>
      <c r="BM27" s="13" t="str">
        <f t="shared" ca="1" si="20"/>
        <v/>
      </c>
      <c r="BN27" s="13" t="str">
        <f t="shared" ca="1" si="20"/>
        <v/>
      </c>
      <c r="BO27" s="13" t="str">
        <f t="shared" ca="1" si="20"/>
        <v/>
      </c>
      <c r="BP27" s="13" t="str">
        <f t="shared" ca="1" si="20"/>
        <v/>
      </c>
      <c r="BQ27" s="13" t="str">
        <f t="shared" ca="1" si="20"/>
        <v/>
      </c>
      <c r="BR27" s="13" t="str">
        <f t="shared" ca="1" si="20"/>
        <v/>
      </c>
      <c r="BS27" s="13" t="str">
        <f t="shared" ca="1" si="22"/>
        <v/>
      </c>
      <c r="BT27" s="13" t="str">
        <f t="shared" ca="1" si="22"/>
        <v/>
      </c>
      <c r="BU27" s="13" t="str">
        <f t="shared" ca="1" si="22"/>
        <v/>
      </c>
      <c r="BV27" s="13" t="str">
        <f t="shared" ca="1" si="22"/>
        <v/>
      </c>
      <c r="BW27" s="13" t="str">
        <f t="shared" ca="1" si="22"/>
        <v/>
      </c>
      <c r="BX27" s="13" t="str">
        <f t="shared" ca="1" si="22"/>
        <v/>
      </c>
      <c r="BY27" s="13" t="str">
        <f t="shared" ca="1" si="22"/>
        <v/>
      </c>
      <c r="BZ27" s="13" t="str">
        <f t="shared" ca="1" si="22"/>
        <v/>
      </c>
      <c r="CA27" s="13" t="str">
        <f t="shared" ca="1" si="22"/>
        <v/>
      </c>
      <c r="CB27" s="13" t="str">
        <f t="shared" ca="1" si="22"/>
        <v/>
      </c>
      <c r="CC27" s="13" t="str">
        <f t="shared" ca="1" si="22"/>
        <v/>
      </c>
      <c r="CD27" s="13" t="str">
        <f t="shared" ca="1" si="22"/>
        <v/>
      </c>
      <c r="CE27" s="13" t="str">
        <f t="shared" ca="1" si="22"/>
        <v/>
      </c>
      <c r="CF27" s="13" t="str">
        <f t="shared" ca="1" si="22"/>
        <v/>
      </c>
      <c r="CG27" s="13" t="str">
        <f t="shared" ca="1" si="22"/>
        <v/>
      </c>
      <c r="CH27" s="13" t="str">
        <f t="shared" ca="1" si="22"/>
        <v/>
      </c>
      <c r="CI27" s="13" t="str">
        <f t="shared" ca="1" si="22"/>
        <v/>
      </c>
      <c r="CJ27" s="13" t="str">
        <f t="shared" ca="1" si="22"/>
        <v/>
      </c>
      <c r="CK27" s="13" t="str">
        <f t="shared" ca="1" si="22"/>
        <v/>
      </c>
      <c r="CL27" s="13" t="str">
        <f t="shared" ca="1" si="22"/>
        <v/>
      </c>
      <c r="CM27" s="13" t="str">
        <f t="shared" ca="1" si="23"/>
        <v/>
      </c>
      <c r="CN27" s="13" t="str">
        <f t="shared" ca="1" si="23"/>
        <v/>
      </c>
      <c r="CO27" s="13" t="str">
        <f t="shared" ca="1" si="23"/>
        <v/>
      </c>
      <c r="CP27" s="13" t="str">
        <f t="shared" ca="1" si="23"/>
        <v/>
      </c>
      <c r="CQ27" s="13" t="str">
        <f t="shared" ca="1" si="23"/>
        <v/>
      </c>
      <c r="CR27" s="13" t="str">
        <f t="shared" ca="1" si="23"/>
        <v/>
      </c>
      <c r="CS27" s="13" t="str">
        <f t="shared" ca="1" si="23"/>
        <v/>
      </c>
      <c r="CT27" s="13" t="str">
        <f t="shared" ca="1" si="23"/>
        <v/>
      </c>
      <c r="CU27" s="13" t="str">
        <f t="shared" ca="1" si="23"/>
        <v/>
      </c>
      <c r="CV27" s="13" t="str">
        <f t="shared" ca="1" si="23"/>
        <v/>
      </c>
      <c r="CW27" s="13" t="str">
        <f t="shared" ca="1" si="23"/>
        <v/>
      </c>
      <c r="CX27" s="13" t="str">
        <f t="shared" ca="1" si="23"/>
        <v/>
      </c>
      <c r="CY27" s="13" t="str">
        <f t="shared" ca="1" si="23"/>
        <v/>
      </c>
      <c r="CZ27" s="13" t="str">
        <f t="shared" ca="1" si="23"/>
        <v/>
      </c>
      <c r="DA27" s="13" t="str">
        <f t="shared" ca="1" si="23"/>
        <v/>
      </c>
      <c r="DB27" s="13" t="str">
        <f t="shared" ca="1" si="23"/>
        <v/>
      </c>
      <c r="DC27" s="13" t="str">
        <f t="shared" ca="1" si="23"/>
        <v/>
      </c>
      <c r="DD27" s="13" t="str">
        <f t="shared" ca="1" si="23"/>
        <v/>
      </c>
      <c r="DE27" s="13" t="str">
        <f t="shared" ca="1" si="23"/>
        <v/>
      </c>
      <c r="DF27" s="13" t="str">
        <f t="shared" ca="1" si="23"/>
        <v/>
      </c>
      <c r="DG27" s="13" t="str">
        <f t="shared" ca="1" si="23"/>
        <v/>
      </c>
      <c r="DH27" s="13" t="str">
        <f t="shared" ca="1" si="23"/>
        <v/>
      </c>
      <c r="DI27" s="13" t="str">
        <f t="shared" ca="1" si="23"/>
        <v/>
      </c>
      <c r="DJ27" s="13" t="str">
        <f t="shared" ca="1" si="23"/>
        <v/>
      </c>
      <c r="DK27" s="13" t="str">
        <f t="shared" ca="1" si="23"/>
        <v/>
      </c>
      <c r="DL27" s="13" t="str">
        <f t="shared" ca="1" si="23"/>
        <v/>
      </c>
      <c r="DM27" s="13" t="str">
        <f t="shared" ca="1" si="23"/>
        <v/>
      </c>
      <c r="DN27" s="13" t="str">
        <f t="shared" ca="1" si="23"/>
        <v/>
      </c>
      <c r="DO27" s="13" t="str">
        <f t="shared" ca="1" si="23"/>
        <v/>
      </c>
      <c r="DP27" s="13" t="str">
        <f t="shared" ca="1" si="23"/>
        <v/>
      </c>
      <c r="DQ27" s="13" t="str">
        <f t="shared" ca="1" si="23"/>
        <v/>
      </c>
      <c r="DR27" s="13" t="str">
        <f t="shared" ca="1" si="23"/>
        <v/>
      </c>
      <c r="DS27" s="13" t="str">
        <f t="shared" ca="1" si="23"/>
        <v/>
      </c>
      <c r="DT27" s="13" t="str">
        <f t="shared" ca="1" si="23"/>
        <v/>
      </c>
      <c r="DU27" s="13" t="str">
        <f t="shared" ca="1" si="23"/>
        <v/>
      </c>
      <c r="DV27" s="13" t="str">
        <f t="shared" ca="1" si="23"/>
        <v/>
      </c>
      <c r="DW27" s="13" t="str">
        <f t="shared" ca="1" si="23"/>
        <v/>
      </c>
      <c r="DX27" s="13" t="str">
        <f t="shared" ca="1" si="23"/>
        <v/>
      </c>
      <c r="DY27" s="13" t="str">
        <f t="shared" ca="1" si="23"/>
        <v/>
      </c>
      <c r="DZ27" s="13" t="str">
        <f t="shared" ca="1" si="23"/>
        <v/>
      </c>
      <c r="EA27" s="13" t="str">
        <f t="shared" ca="1" si="23"/>
        <v/>
      </c>
      <c r="EB27" s="13" t="str">
        <f t="shared" ca="1" si="23"/>
        <v/>
      </c>
      <c r="EC27" s="13" t="str">
        <f t="shared" ca="1" si="23"/>
        <v/>
      </c>
      <c r="ED27" s="13" t="str">
        <f t="shared" ca="1" si="23"/>
        <v/>
      </c>
      <c r="EE27" s="13" t="str">
        <f t="shared" ca="1" si="23"/>
        <v/>
      </c>
      <c r="EF27" s="13" t="str">
        <f t="shared" ca="1" si="23"/>
        <v/>
      </c>
      <c r="EG27" s="13" t="str">
        <f t="shared" ca="1" si="23"/>
        <v/>
      </c>
      <c r="EH27" s="13" t="str">
        <f t="shared" ca="1" si="23"/>
        <v/>
      </c>
      <c r="EI27" s="13" t="str">
        <f t="shared" ca="1" si="23"/>
        <v/>
      </c>
      <c r="EJ27" s="13" t="str">
        <f t="shared" ca="1" si="23"/>
        <v/>
      </c>
    </row>
    <row r="28" spans="1:140" s="1" customFormat="1" ht="40.15" customHeight="1" x14ac:dyDescent="0.25">
      <c r="A28" s="4"/>
      <c r="B28" s="52" t="s">
        <v>20</v>
      </c>
      <c r="C28" s="47" t="s">
        <v>10</v>
      </c>
      <c r="D28" s="47"/>
      <c r="E28" s="48">
        <v>0</v>
      </c>
      <c r="F28" s="49">
        <f>F24+1</f>
        <v>44368</v>
      </c>
      <c r="G28" s="50">
        <v>7</v>
      </c>
      <c r="H28" s="51"/>
      <c r="I28" s="13" t="str">
        <f t="shared" ca="1" si="17"/>
        <v/>
      </c>
      <c r="J28" s="13" t="str">
        <f t="shared" ca="1" si="17"/>
        <v/>
      </c>
      <c r="K28" s="13" t="str">
        <f t="shared" ca="1" si="17"/>
        <v/>
      </c>
      <c r="L28" s="13" t="str">
        <f t="shared" ca="1" si="17"/>
        <v/>
      </c>
      <c r="M28" s="13" t="str">
        <f t="shared" ca="1" si="17"/>
        <v/>
      </c>
      <c r="N28" s="13" t="str">
        <f t="shared" ca="1" si="17"/>
        <v/>
      </c>
      <c r="O28" s="13" t="str">
        <f t="shared" ca="1" si="17"/>
        <v/>
      </c>
      <c r="P28" s="13" t="str">
        <f t="shared" ca="1" si="17"/>
        <v/>
      </c>
      <c r="Q28" s="13" t="str">
        <f t="shared" ca="1" si="17"/>
        <v/>
      </c>
      <c r="R28" s="13" t="str">
        <f t="shared" ca="1" si="17"/>
        <v/>
      </c>
      <c r="S28" s="13" t="str">
        <f t="shared" ca="1" si="17"/>
        <v/>
      </c>
      <c r="T28" s="13" t="str">
        <f t="shared" ca="1" si="17"/>
        <v/>
      </c>
      <c r="U28" s="13" t="str">
        <f t="shared" ca="1" si="17"/>
        <v/>
      </c>
      <c r="V28" s="13" t="str">
        <f t="shared" ca="1" si="17"/>
        <v/>
      </c>
      <c r="W28" s="13" t="str">
        <f t="shared" ca="1" si="17"/>
        <v/>
      </c>
      <c r="X28" s="13" t="str">
        <f t="shared" ca="1" si="17"/>
        <v/>
      </c>
      <c r="Y28" s="13" t="str">
        <f t="shared" ca="1" si="18"/>
        <v/>
      </c>
      <c r="Z28" s="13" t="str">
        <f t="shared" ca="1" si="18"/>
        <v/>
      </c>
      <c r="AA28" s="13" t="str">
        <f t="shared" ca="1" si="18"/>
        <v/>
      </c>
      <c r="AB28" s="13" t="str">
        <f t="shared" ca="1" si="18"/>
        <v/>
      </c>
      <c r="AC28" s="13" t="str">
        <f t="shared" ca="1" si="18"/>
        <v/>
      </c>
      <c r="AD28" s="13" t="str">
        <f t="shared" ca="1" si="18"/>
        <v/>
      </c>
      <c r="AE28" s="13" t="str">
        <f t="shared" ca="1" si="18"/>
        <v/>
      </c>
      <c r="AF28" s="13" t="str">
        <f t="shared" ca="1" si="18"/>
        <v/>
      </c>
      <c r="AG28" s="13" t="str">
        <f t="shared" ca="1" si="18"/>
        <v/>
      </c>
      <c r="AH28" s="13" t="str">
        <f t="shared" ca="1" si="18"/>
        <v/>
      </c>
      <c r="AI28" s="13" t="str">
        <f t="shared" ca="1" si="18"/>
        <v/>
      </c>
      <c r="AJ28" s="13" t="str">
        <f t="shared" ca="1" si="18"/>
        <v/>
      </c>
      <c r="AK28" s="13" t="str">
        <f t="shared" ca="1" si="18"/>
        <v/>
      </c>
      <c r="AL28" s="13" t="str">
        <f t="shared" ca="1" si="18"/>
        <v/>
      </c>
      <c r="AM28" s="13" t="str">
        <f t="shared" ca="1" si="18"/>
        <v/>
      </c>
      <c r="AN28" s="13" t="str">
        <f t="shared" ca="1" si="19"/>
        <v/>
      </c>
      <c r="AO28" s="13" t="str">
        <f t="shared" ca="1" si="19"/>
        <v/>
      </c>
      <c r="AP28" s="13" t="str">
        <f t="shared" ca="1" si="19"/>
        <v/>
      </c>
      <c r="AQ28" s="13" t="str">
        <f t="shared" ca="1" si="19"/>
        <v/>
      </c>
      <c r="AR28" s="13" t="str">
        <f t="shared" ca="1" si="19"/>
        <v/>
      </c>
      <c r="AS28" s="13" t="str">
        <f t="shared" ca="1" si="19"/>
        <v/>
      </c>
      <c r="AT28" s="13" t="str">
        <f t="shared" ca="1" si="19"/>
        <v/>
      </c>
      <c r="AU28" s="13" t="str">
        <f t="shared" ca="1" si="19"/>
        <v/>
      </c>
      <c r="AV28" s="13" t="str">
        <f t="shared" ca="1" si="19"/>
        <v/>
      </c>
      <c r="AW28" s="13" t="str">
        <f t="shared" ca="1" si="19"/>
        <v/>
      </c>
      <c r="AX28" s="13" t="str">
        <f t="shared" ca="1" si="19"/>
        <v/>
      </c>
      <c r="AY28" s="13" t="str">
        <f t="shared" ca="1" si="19"/>
        <v/>
      </c>
      <c r="AZ28" s="13" t="str">
        <f t="shared" ca="1" si="19"/>
        <v/>
      </c>
      <c r="BA28" s="13" t="str">
        <f t="shared" ca="1" si="19"/>
        <v/>
      </c>
      <c r="BB28" s="13" t="str">
        <f t="shared" ca="1" si="19"/>
        <v/>
      </c>
      <c r="BC28" s="13" t="str">
        <f t="shared" ca="1" si="19"/>
        <v/>
      </c>
      <c r="BD28" s="13" t="str">
        <f t="shared" ca="1" si="20"/>
        <v/>
      </c>
      <c r="BE28" s="13" t="str">
        <f t="shared" ca="1" si="20"/>
        <v/>
      </c>
      <c r="BF28" s="13" t="str">
        <f t="shared" ca="1" si="20"/>
        <v/>
      </c>
      <c r="BG28" s="13" t="str">
        <f t="shared" ca="1" si="20"/>
        <v/>
      </c>
      <c r="BH28" s="13" t="str">
        <f t="shared" ca="1" si="20"/>
        <v/>
      </c>
      <c r="BI28" s="13" t="str">
        <f t="shared" ca="1" si="20"/>
        <v/>
      </c>
      <c r="BJ28" s="13" t="str">
        <f t="shared" ca="1" si="20"/>
        <v/>
      </c>
      <c r="BK28" s="13" t="str">
        <f t="shared" ca="1" si="20"/>
        <v/>
      </c>
      <c r="BL28" s="13" t="str">
        <f t="shared" ca="1" si="20"/>
        <v/>
      </c>
      <c r="BM28" s="13" t="str">
        <f t="shared" ca="1" si="20"/>
        <v/>
      </c>
      <c r="BN28" s="13" t="str">
        <f t="shared" ca="1" si="20"/>
        <v/>
      </c>
      <c r="BO28" s="13" t="str">
        <f t="shared" ca="1" si="20"/>
        <v/>
      </c>
      <c r="BP28" s="13" t="str">
        <f t="shared" ca="1" si="20"/>
        <v/>
      </c>
      <c r="BQ28" s="13" t="str">
        <f t="shared" ca="1" si="20"/>
        <v/>
      </c>
      <c r="BR28" s="13" t="str">
        <f t="shared" ca="1" si="20"/>
        <v/>
      </c>
      <c r="BS28" s="13" t="str">
        <f t="shared" ca="1" si="22"/>
        <v/>
      </c>
      <c r="BT28" s="13" t="str">
        <f t="shared" ca="1" si="22"/>
        <v/>
      </c>
      <c r="BU28" s="13" t="str">
        <f t="shared" ca="1" si="22"/>
        <v/>
      </c>
      <c r="BV28" s="13" t="str">
        <f t="shared" ca="1" si="22"/>
        <v/>
      </c>
      <c r="BW28" s="13" t="str">
        <f t="shared" ca="1" si="22"/>
        <v/>
      </c>
      <c r="BX28" s="13" t="str">
        <f t="shared" ca="1" si="22"/>
        <v/>
      </c>
      <c r="BY28" s="13" t="str">
        <f t="shared" ca="1" si="22"/>
        <v/>
      </c>
      <c r="BZ28" s="13" t="str">
        <f t="shared" ca="1" si="22"/>
        <v/>
      </c>
      <c r="CA28" s="13" t="str">
        <f t="shared" ca="1" si="22"/>
        <v/>
      </c>
      <c r="CB28" s="13" t="str">
        <f t="shared" ca="1" si="22"/>
        <v/>
      </c>
      <c r="CC28" s="13" t="str">
        <f t="shared" ca="1" si="22"/>
        <v/>
      </c>
      <c r="CD28" s="13" t="str">
        <f t="shared" ca="1" si="22"/>
        <v/>
      </c>
      <c r="CE28" s="13" t="str">
        <f t="shared" ca="1" si="22"/>
        <v/>
      </c>
      <c r="CF28" s="13" t="str">
        <f t="shared" ca="1" si="22"/>
        <v/>
      </c>
      <c r="CG28" s="13" t="str">
        <f t="shared" ca="1" si="22"/>
        <v/>
      </c>
      <c r="CH28" s="13" t="str">
        <f t="shared" ca="1" si="22"/>
        <v/>
      </c>
      <c r="CI28" s="13" t="str">
        <f t="shared" ca="1" si="22"/>
        <v/>
      </c>
      <c r="CJ28" s="13" t="str">
        <f t="shared" ca="1" si="22"/>
        <v/>
      </c>
      <c r="CK28" s="13" t="str">
        <f t="shared" ca="1" si="22"/>
        <v/>
      </c>
      <c r="CL28" s="13" t="str">
        <f t="shared" ca="1" si="22"/>
        <v/>
      </c>
      <c r="CM28" s="13" t="str">
        <f t="shared" ca="1" si="23"/>
        <v/>
      </c>
      <c r="CN28" s="13" t="str">
        <f t="shared" ca="1" si="23"/>
        <v/>
      </c>
      <c r="CO28" s="13" t="str">
        <f t="shared" ca="1" si="23"/>
        <v/>
      </c>
      <c r="CP28" s="13" t="str">
        <f t="shared" ca="1" si="23"/>
        <v/>
      </c>
      <c r="CQ28" s="13" t="str">
        <f t="shared" ca="1" si="23"/>
        <v/>
      </c>
      <c r="CR28" s="13" t="str">
        <f t="shared" ca="1" si="23"/>
        <v/>
      </c>
      <c r="CS28" s="13" t="str">
        <f t="shared" ca="1" si="23"/>
        <v/>
      </c>
      <c r="CT28" s="13" t="str">
        <f t="shared" ca="1" si="23"/>
        <v/>
      </c>
      <c r="CU28" s="13" t="str">
        <f t="shared" ca="1" si="23"/>
        <v/>
      </c>
      <c r="CV28" s="13" t="str">
        <f t="shared" ca="1" si="23"/>
        <v/>
      </c>
      <c r="CW28" s="13" t="str">
        <f t="shared" ca="1" si="23"/>
        <v/>
      </c>
      <c r="CX28" s="13" t="str">
        <f t="shared" ca="1" si="23"/>
        <v/>
      </c>
      <c r="CY28" s="13" t="str">
        <f t="shared" ca="1" si="23"/>
        <v/>
      </c>
      <c r="CZ28" s="13" t="str">
        <f t="shared" ca="1" si="23"/>
        <v/>
      </c>
      <c r="DA28" s="13" t="str">
        <f t="shared" ca="1" si="23"/>
        <v/>
      </c>
      <c r="DB28" s="13" t="str">
        <f t="shared" ca="1" si="23"/>
        <v/>
      </c>
      <c r="DC28" s="13" t="str">
        <f t="shared" ca="1" si="23"/>
        <v/>
      </c>
      <c r="DD28" s="13" t="str">
        <f t="shared" ca="1" si="23"/>
        <v/>
      </c>
      <c r="DE28" s="13" t="str">
        <f t="shared" ca="1" si="23"/>
        <v/>
      </c>
      <c r="DF28" s="13" t="str">
        <f t="shared" ca="1" si="23"/>
        <v/>
      </c>
      <c r="DG28" s="13" t="str">
        <f t="shared" ca="1" si="23"/>
        <v/>
      </c>
      <c r="DH28" s="13" t="str">
        <f t="shared" ca="1" si="23"/>
        <v/>
      </c>
      <c r="DI28" s="13" t="str">
        <f t="shared" ca="1" si="23"/>
        <v/>
      </c>
      <c r="DJ28" s="13" t="str">
        <f t="shared" ca="1" si="23"/>
        <v/>
      </c>
      <c r="DK28" s="13" t="str">
        <f t="shared" ca="1" si="23"/>
        <v/>
      </c>
      <c r="DL28" s="13" t="str">
        <f t="shared" ca="1" si="23"/>
        <v/>
      </c>
      <c r="DM28" s="13" t="str">
        <f t="shared" ca="1" si="23"/>
        <v/>
      </c>
      <c r="DN28" s="13" t="str">
        <f t="shared" ca="1" si="23"/>
        <v/>
      </c>
      <c r="DO28" s="13" t="str">
        <f t="shared" ca="1" si="23"/>
        <v/>
      </c>
      <c r="DP28" s="13" t="str">
        <f t="shared" ca="1" si="23"/>
        <v/>
      </c>
      <c r="DQ28" s="13" t="str">
        <f t="shared" ca="1" si="23"/>
        <v/>
      </c>
      <c r="DR28" s="13" t="str">
        <f t="shared" ca="1" si="23"/>
        <v/>
      </c>
      <c r="DS28" s="13" t="str">
        <f t="shared" ca="1" si="23"/>
        <v/>
      </c>
      <c r="DT28" s="13" t="str">
        <f t="shared" ca="1" si="23"/>
        <v/>
      </c>
      <c r="DU28" s="13" t="str">
        <f t="shared" ca="1" si="23"/>
        <v/>
      </c>
      <c r="DV28" s="13" t="str">
        <f t="shared" ca="1" si="23"/>
        <v/>
      </c>
      <c r="DW28" s="13" t="str">
        <f t="shared" ca="1" si="23"/>
        <v/>
      </c>
      <c r="DX28" s="13" t="str">
        <f t="shared" ca="1" si="23"/>
        <v/>
      </c>
      <c r="DY28" s="13" t="str">
        <f t="shared" ca="1" si="23"/>
        <v/>
      </c>
      <c r="DZ28" s="13" t="str">
        <f t="shared" ca="1" si="23"/>
        <v/>
      </c>
      <c r="EA28" s="13" t="str">
        <f t="shared" ca="1" si="23"/>
        <v/>
      </c>
      <c r="EB28" s="13" t="str">
        <f t="shared" ca="1" si="23"/>
        <v/>
      </c>
      <c r="EC28" s="13" t="str">
        <f t="shared" ca="1" si="23"/>
        <v/>
      </c>
      <c r="ED28" s="13" t="str">
        <f t="shared" ca="1" si="23"/>
        <v/>
      </c>
      <c r="EE28" s="13" t="str">
        <f t="shared" ca="1" si="23"/>
        <v/>
      </c>
      <c r="EF28" s="13" t="str">
        <f t="shared" ca="1" si="23"/>
        <v/>
      </c>
      <c r="EG28" s="13" t="str">
        <f t="shared" ca="1" si="23"/>
        <v/>
      </c>
      <c r="EH28" s="13" t="str">
        <f t="shared" ca="1" si="23"/>
        <v/>
      </c>
      <c r="EI28" s="13" t="str">
        <f t="shared" ca="1" si="23"/>
        <v/>
      </c>
      <c r="EJ28" s="13" t="str">
        <f t="shared" ca="1" si="23"/>
        <v/>
      </c>
    </row>
    <row r="29" spans="1:140" s="1" customFormat="1" ht="40.15" customHeight="1" x14ac:dyDescent="0.25">
      <c r="A29" s="4"/>
      <c r="B29" s="46" t="s">
        <v>34</v>
      </c>
      <c r="C29" s="47"/>
      <c r="D29" s="47"/>
      <c r="E29" s="48"/>
      <c r="F29" s="49"/>
      <c r="G29" s="50"/>
      <c r="H29" s="51"/>
      <c r="I29" s="13" t="str">
        <f t="shared" ca="1" si="17"/>
        <v/>
      </c>
      <c r="J29" s="13" t="str">
        <f t="shared" ca="1" si="17"/>
        <v/>
      </c>
      <c r="K29" s="13" t="str">
        <f t="shared" ca="1" si="17"/>
        <v/>
      </c>
      <c r="L29" s="13" t="str">
        <f t="shared" ca="1" si="17"/>
        <v/>
      </c>
      <c r="M29" s="13" t="str">
        <f t="shared" ca="1" si="17"/>
        <v/>
      </c>
      <c r="N29" s="13" t="str">
        <f t="shared" ca="1" si="17"/>
        <v/>
      </c>
      <c r="O29" s="13" t="str">
        <f t="shared" ca="1" si="17"/>
        <v/>
      </c>
      <c r="P29" s="13" t="str">
        <f t="shared" ca="1" si="17"/>
        <v/>
      </c>
      <c r="Q29" s="13" t="str">
        <f t="shared" ca="1" si="17"/>
        <v/>
      </c>
      <c r="R29" s="13" t="str">
        <f t="shared" ca="1" si="17"/>
        <v/>
      </c>
      <c r="S29" s="13" t="str">
        <f t="shared" ca="1" si="17"/>
        <v/>
      </c>
      <c r="T29" s="13" t="str">
        <f t="shared" ca="1" si="17"/>
        <v/>
      </c>
      <c r="U29" s="13" t="str">
        <f t="shared" ca="1" si="17"/>
        <v/>
      </c>
      <c r="V29" s="13" t="str">
        <f t="shared" ca="1" si="17"/>
        <v/>
      </c>
      <c r="W29" s="13" t="str">
        <f t="shared" ca="1" si="17"/>
        <v/>
      </c>
      <c r="X29" s="13" t="str">
        <f t="shared" ca="1" si="17"/>
        <v/>
      </c>
      <c r="Y29" s="13" t="str">
        <f t="shared" ca="1" si="18"/>
        <v/>
      </c>
      <c r="Z29" s="13" t="str">
        <f t="shared" ca="1" si="18"/>
        <v/>
      </c>
      <c r="AA29" s="13" t="str">
        <f t="shared" ca="1" si="18"/>
        <v/>
      </c>
      <c r="AB29" s="13" t="str">
        <f t="shared" ca="1" si="18"/>
        <v/>
      </c>
      <c r="AC29" s="13" t="str">
        <f t="shared" ca="1" si="18"/>
        <v/>
      </c>
      <c r="AD29" s="13" t="str">
        <f t="shared" ca="1" si="18"/>
        <v/>
      </c>
      <c r="AE29" s="13" t="str">
        <f t="shared" ca="1" si="18"/>
        <v/>
      </c>
      <c r="AF29" s="13" t="str">
        <f t="shared" ca="1" si="18"/>
        <v/>
      </c>
      <c r="AG29" s="13" t="str">
        <f t="shared" ca="1" si="18"/>
        <v/>
      </c>
      <c r="AH29" s="13" t="str">
        <f t="shared" ca="1" si="18"/>
        <v/>
      </c>
      <c r="AI29" s="13" t="str">
        <f t="shared" ca="1" si="18"/>
        <v/>
      </c>
      <c r="AJ29" s="13" t="str">
        <f t="shared" ca="1" si="18"/>
        <v/>
      </c>
      <c r="AK29" s="13" t="str">
        <f t="shared" ca="1" si="18"/>
        <v/>
      </c>
      <c r="AL29" s="13" t="str">
        <f t="shared" ca="1" si="18"/>
        <v/>
      </c>
      <c r="AM29" s="13" t="str">
        <f t="shared" ca="1" si="18"/>
        <v/>
      </c>
      <c r="AN29" s="13" t="str">
        <f t="shared" ca="1" si="19"/>
        <v/>
      </c>
      <c r="AO29" s="13" t="str">
        <f t="shared" ca="1" si="19"/>
        <v/>
      </c>
      <c r="AP29" s="13" t="str">
        <f t="shared" ca="1" si="19"/>
        <v/>
      </c>
      <c r="AQ29" s="13" t="str">
        <f t="shared" ca="1" si="19"/>
        <v/>
      </c>
      <c r="AR29" s="13" t="str">
        <f t="shared" ca="1" si="19"/>
        <v/>
      </c>
      <c r="AS29" s="13" t="str">
        <f t="shared" ca="1" si="19"/>
        <v/>
      </c>
      <c r="AT29" s="13" t="str">
        <f t="shared" ca="1" si="19"/>
        <v/>
      </c>
      <c r="AU29" s="13" t="str">
        <f t="shared" ca="1" si="19"/>
        <v/>
      </c>
      <c r="AV29" s="13" t="str">
        <f t="shared" ca="1" si="19"/>
        <v/>
      </c>
      <c r="AW29" s="13" t="str">
        <f t="shared" ca="1" si="19"/>
        <v/>
      </c>
      <c r="AX29" s="13" t="str">
        <f t="shared" ca="1" si="19"/>
        <v/>
      </c>
      <c r="AY29" s="13" t="str">
        <f t="shared" ca="1" si="19"/>
        <v/>
      </c>
      <c r="AZ29" s="13" t="str">
        <f t="shared" ca="1" si="19"/>
        <v/>
      </c>
      <c r="BA29" s="13" t="str">
        <f t="shared" ca="1" si="19"/>
        <v/>
      </c>
      <c r="BB29" s="13" t="str">
        <f t="shared" ca="1" si="19"/>
        <v/>
      </c>
      <c r="BC29" s="13" t="str">
        <f t="shared" ca="1" si="19"/>
        <v/>
      </c>
      <c r="BD29" s="13" t="str">
        <f t="shared" ca="1" si="20"/>
        <v/>
      </c>
      <c r="BE29" s="13" t="str">
        <f t="shared" ca="1" si="20"/>
        <v/>
      </c>
      <c r="BF29" s="13" t="str">
        <f t="shared" ca="1" si="20"/>
        <v/>
      </c>
      <c r="BG29" s="13" t="str">
        <f t="shared" ca="1" si="20"/>
        <v/>
      </c>
      <c r="BH29" s="13" t="str">
        <f t="shared" ca="1" si="20"/>
        <v/>
      </c>
      <c r="BI29" s="13" t="str">
        <f t="shared" ca="1" si="20"/>
        <v/>
      </c>
      <c r="BJ29" s="13" t="str">
        <f t="shared" ca="1" si="20"/>
        <v/>
      </c>
      <c r="BK29" s="13" t="str">
        <f t="shared" ca="1" si="20"/>
        <v/>
      </c>
      <c r="BL29" s="13" t="str">
        <f t="shared" ca="1" si="20"/>
        <v/>
      </c>
      <c r="BM29" s="13" t="str">
        <f t="shared" ca="1" si="20"/>
        <v/>
      </c>
      <c r="BN29" s="13" t="str">
        <f t="shared" ca="1" si="20"/>
        <v/>
      </c>
      <c r="BO29" s="13" t="str">
        <f t="shared" ca="1" si="20"/>
        <v/>
      </c>
      <c r="BP29" s="13" t="str">
        <f t="shared" ca="1" si="20"/>
        <v/>
      </c>
      <c r="BQ29" s="13" t="str">
        <f t="shared" ca="1" si="20"/>
        <v/>
      </c>
      <c r="BR29" s="13" t="str">
        <f t="shared" ca="1" si="20"/>
        <v/>
      </c>
      <c r="BS29" s="13" t="str">
        <f t="shared" ca="1" si="22"/>
        <v/>
      </c>
      <c r="BT29" s="13" t="str">
        <f t="shared" ca="1" si="22"/>
        <v/>
      </c>
      <c r="BU29" s="13" t="str">
        <f t="shared" ca="1" si="22"/>
        <v/>
      </c>
      <c r="BV29" s="13" t="str">
        <f t="shared" ca="1" si="22"/>
        <v/>
      </c>
      <c r="BW29" s="13" t="str">
        <f t="shared" ca="1" si="22"/>
        <v/>
      </c>
      <c r="BX29" s="13" t="str">
        <f t="shared" ca="1" si="22"/>
        <v/>
      </c>
      <c r="BY29" s="13" t="str">
        <f t="shared" ca="1" si="22"/>
        <v/>
      </c>
      <c r="BZ29" s="13" t="str">
        <f t="shared" ca="1" si="22"/>
        <v/>
      </c>
      <c r="CA29" s="13" t="str">
        <f t="shared" ca="1" si="22"/>
        <v/>
      </c>
      <c r="CB29" s="13" t="str">
        <f t="shared" ca="1" si="22"/>
        <v/>
      </c>
      <c r="CC29" s="13" t="str">
        <f t="shared" ca="1" si="22"/>
        <v/>
      </c>
      <c r="CD29" s="13" t="str">
        <f t="shared" ca="1" si="22"/>
        <v/>
      </c>
      <c r="CE29" s="13" t="str">
        <f t="shared" ca="1" si="22"/>
        <v/>
      </c>
      <c r="CF29" s="13" t="str">
        <f t="shared" ca="1" si="22"/>
        <v/>
      </c>
      <c r="CG29" s="13" t="str">
        <f t="shared" ca="1" si="22"/>
        <v/>
      </c>
      <c r="CH29" s="13" t="str">
        <f t="shared" ca="1" si="22"/>
        <v/>
      </c>
      <c r="CI29" s="13" t="str">
        <f t="shared" ca="1" si="22"/>
        <v/>
      </c>
      <c r="CJ29" s="13" t="str">
        <f t="shared" ca="1" si="22"/>
        <v/>
      </c>
      <c r="CK29" s="13" t="str">
        <f t="shared" ca="1" si="22"/>
        <v/>
      </c>
      <c r="CL29" s="13" t="str">
        <f t="shared" ca="1" si="22"/>
        <v/>
      </c>
      <c r="CM29" s="13" t="str">
        <f t="shared" ca="1" si="23"/>
        <v/>
      </c>
      <c r="CN29" s="13" t="str">
        <f t="shared" ca="1" si="23"/>
        <v/>
      </c>
      <c r="CO29" s="13" t="str">
        <f t="shared" ca="1" si="23"/>
        <v/>
      </c>
      <c r="CP29" s="13" t="str">
        <f t="shared" ca="1" si="23"/>
        <v/>
      </c>
      <c r="CQ29" s="13" t="str">
        <f t="shared" ca="1" si="23"/>
        <v/>
      </c>
      <c r="CR29" s="13" t="str">
        <f t="shared" ca="1" si="23"/>
        <v/>
      </c>
      <c r="CS29" s="13" t="str">
        <f t="shared" ca="1" si="23"/>
        <v/>
      </c>
      <c r="CT29" s="13" t="str">
        <f t="shared" ca="1" si="23"/>
        <v/>
      </c>
      <c r="CU29" s="13" t="str">
        <f t="shared" ca="1" si="23"/>
        <v/>
      </c>
      <c r="CV29" s="13" t="str">
        <f t="shared" ca="1" si="23"/>
        <v/>
      </c>
      <c r="CW29" s="13" t="str">
        <f t="shared" ca="1" si="23"/>
        <v/>
      </c>
      <c r="CX29" s="13" t="str">
        <f t="shared" ca="1" si="23"/>
        <v/>
      </c>
      <c r="CY29" s="13" t="str">
        <f t="shared" ca="1" si="23"/>
        <v/>
      </c>
      <c r="CZ29" s="13" t="str">
        <f t="shared" ca="1" si="23"/>
        <v/>
      </c>
      <c r="DA29" s="13" t="str">
        <f t="shared" ca="1" si="23"/>
        <v/>
      </c>
      <c r="DB29" s="13" t="str">
        <f t="shared" ca="1" si="23"/>
        <v/>
      </c>
      <c r="DC29" s="13" t="str">
        <f t="shared" ca="1" si="23"/>
        <v/>
      </c>
      <c r="DD29" s="13" t="str">
        <f t="shared" ca="1" si="23"/>
        <v/>
      </c>
      <c r="DE29" s="13" t="str">
        <f t="shared" ca="1" si="23"/>
        <v/>
      </c>
      <c r="DF29" s="13" t="str">
        <f t="shared" ca="1" si="23"/>
        <v/>
      </c>
      <c r="DG29" s="13" t="str">
        <f t="shared" ca="1" si="23"/>
        <v/>
      </c>
      <c r="DH29" s="13" t="str">
        <f t="shared" ca="1" si="23"/>
        <v/>
      </c>
      <c r="DI29" s="13" t="str">
        <f t="shared" ca="1" si="23"/>
        <v/>
      </c>
      <c r="DJ29" s="13" t="str">
        <f t="shared" ca="1" si="23"/>
        <v/>
      </c>
      <c r="DK29" s="13" t="str">
        <f t="shared" ca="1" si="23"/>
        <v/>
      </c>
      <c r="DL29" s="13" t="str">
        <f t="shared" ca="1" si="23"/>
        <v/>
      </c>
      <c r="DM29" s="13" t="str">
        <f t="shared" ca="1" si="23"/>
        <v/>
      </c>
      <c r="DN29" s="13" t="str">
        <f t="shared" ca="1" si="23"/>
        <v/>
      </c>
      <c r="DO29" s="13" t="str">
        <f t="shared" ca="1" si="23"/>
        <v/>
      </c>
      <c r="DP29" s="13" t="str">
        <f t="shared" ca="1" si="23"/>
        <v/>
      </c>
      <c r="DQ29" s="13" t="str">
        <f t="shared" ca="1" si="23"/>
        <v/>
      </c>
      <c r="DR29" s="13" t="str">
        <f t="shared" ca="1" si="23"/>
        <v/>
      </c>
      <c r="DS29" s="13" t="str">
        <f t="shared" ca="1" si="23"/>
        <v/>
      </c>
      <c r="DT29" s="13" t="str">
        <f t="shared" ca="1" si="23"/>
        <v/>
      </c>
      <c r="DU29" s="13" t="str">
        <f t="shared" ca="1" si="23"/>
        <v/>
      </c>
      <c r="DV29" s="13" t="str">
        <f t="shared" ca="1" si="23"/>
        <v/>
      </c>
      <c r="DW29" s="13" t="str">
        <f t="shared" ca="1" si="23"/>
        <v/>
      </c>
      <c r="DX29" s="13" t="str">
        <f t="shared" ca="1" si="23"/>
        <v/>
      </c>
      <c r="DY29" s="13" t="str">
        <f t="shared" ca="1" si="23"/>
        <v/>
      </c>
      <c r="DZ29" s="13" t="str">
        <f t="shared" ca="1" si="23"/>
        <v/>
      </c>
      <c r="EA29" s="13" t="str">
        <f t="shared" ca="1" si="23"/>
        <v/>
      </c>
      <c r="EB29" s="13" t="str">
        <f t="shared" ca="1" si="23"/>
        <v/>
      </c>
      <c r="EC29" s="13" t="str">
        <f t="shared" ca="1" si="23"/>
        <v/>
      </c>
      <c r="ED29" s="13" t="str">
        <f t="shared" ca="1" si="23"/>
        <v/>
      </c>
      <c r="EE29" s="13" t="str">
        <f t="shared" ca="1" si="23"/>
        <v/>
      </c>
      <c r="EF29" s="13" t="str">
        <f t="shared" ca="1" si="23"/>
        <v/>
      </c>
      <c r="EG29" s="13" t="str">
        <f t="shared" ca="1" si="23"/>
        <v/>
      </c>
      <c r="EH29" s="13" t="str">
        <f t="shared" ca="1" si="23"/>
        <v/>
      </c>
      <c r="EI29" s="13" t="str">
        <f t="shared" ca="1" si="23"/>
        <v/>
      </c>
      <c r="EJ29" s="13" t="str">
        <f t="shared" ca="1" si="23"/>
        <v/>
      </c>
    </row>
    <row r="30" spans="1:140" s="1" customFormat="1" ht="40.15" customHeight="1" x14ac:dyDescent="0.25">
      <c r="A30" s="4"/>
      <c r="B30" s="52" t="s">
        <v>19</v>
      </c>
      <c r="C30" s="47" t="s">
        <v>6</v>
      </c>
      <c r="D30" s="71"/>
      <c r="E30" s="48"/>
      <c r="F30" s="49">
        <f>F27+7</f>
        <v>44381</v>
      </c>
      <c r="G30" s="50">
        <v>1</v>
      </c>
      <c r="H30" s="51"/>
      <c r="I30" s="13" t="str">
        <f t="shared" ref="I30:X45" ca="1" si="24">IF(AND($C30="目標",I$7&gt;=$F30,I$7&lt;=$F30+$G30-1),2,IF(AND($C30="マイルストーン",I$7&gt;=$F30,I$7&lt;=$F30+$G30-1),1,""))</f>
        <v/>
      </c>
      <c r="J30" s="13" t="str">
        <f t="shared" ca="1" si="24"/>
        <v/>
      </c>
      <c r="K30" s="13" t="str">
        <f t="shared" ca="1" si="24"/>
        <v/>
      </c>
      <c r="L30" s="13" t="str">
        <f t="shared" ca="1" si="24"/>
        <v/>
      </c>
      <c r="M30" s="13" t="str">
        <f t="shared" ca="1" si="24"/>
        <v/>
      </c>
      <c r="N30" s="13" t="str">
        <f t="shared" ca="1" si="24"/>
        <v/>
      </c>
      <c r="O30" s="13" t="str">
        <f t="shared" ca="1" si="24"/>
        <v/>
      </c>
      <c r="P30" s="13" t="str">
        <f t="shared" ca="1" si="24"/>
        <v/>
      </c>
      <c r="Q30" s="13" t="str">
        <f t="shared" ca="1" si="24"/>
        <v/>
      </c>
      <c r="R30" s="13" t="str">
        <f t="shared" ca="1" si="24"/>
        <v/>
      </c>
      <c r="S30" s="13" t="str">
        <f t="shared" ca="1" si="24"/>
        <v/>
      </c>
      <c r="T30" s="13" t="str">
        <f t="shared" ca="1" si="24"/>
        <v/>
      </c>
      <c r="U30" s="13" t="str">
        <f t="shared" ca="1" si="24"/>
        <v/>
      </c>
      <c r="V30" s="13" t="str">
        <f t="shared" ca="1" si="24"/>
        <v/>
      </c>
      <c r="W30" s="13" t="str">
        <f t="shared" ca="1" si="24"/>
        <v/>
      </c>
      <c r="X30" s="13" t="str">
        <f t="shared" ca="1" si="24"/>
        <v/>
      </c>
      <c r="Y30" s="13" t="str">
        <f t="shared" ref="Y30:AN45" ca="1" si="25">IF(AND($C30="目標",Y$7&gt;=$F30,Y$7&lt;=$F30+$G30-1),2,IF(AND($C30="マイルストーン",Y$7&gt;=$F30,Y$7&lt;=$F30+$G30-1),1,""))</f>
        <v/>
      </c>
      <c r="Z30" s="13" t="str">
        <f t="shared" ca="1" si="25"/>
        <v/>
      </c>
      <c r="AA30" s="13" t="str">
        <f t="shared" ca="1" si="25"/>
        <v/>
      </c>
      <c r="AB30" s="13" t="str">
        <f t="shared" ca="1" si="25"/>
        <v/>
      </c>
      <c r="AC30" s="13" t="str">
        <f t="shared" ca="1" si="25"/>
        <v/>
      </c>
      <c r="AD30" s="13" t="str">
        <f t="shared" ca="1" si="25"/>
        <v/>
      </c>
      <c r="AE30" s="13" t="str">
        <f t="shared" ca="1" si="25"/>
        <v/>
      </c>
      <c r="AF30" s="13" t="str">
        <f t="shared" ca="1" si="25"/>
        <v/>
      </c>
      <c r="AG30" s="13" t="str">
        <f t="shared" ca="1" si="25"/>
        <v/>
      </c>
      <c r="AH30" s="13" t="str">
        <f t="shared" ca="1" si="25"/>
        <v/>
      </c>
      <c r="AI30" s="13" t="str">
        <f t="shared" ca="1" si="25"/>
        <v/>
      </c>
      <c r="AJ30" s="13" t="str">
        <f t="shared" ca="1" si="25"/>
        <v/>
      </c>
      <c r="AK30" s="13" t="str">
        <f t="shared" ca="1" si="25"/>
        <v/>
      </c>
      <c r="AL30" s="13" t="str">
        <f t="shared" ca="1" si="25"/>
        <v/>
      </c>
      <c r="AM30" s="13" t="str">
        <f t="shared" ca="1" si="25"/>
        <v/>
      </c>
      <c r="AN30" s="13" t="str">
        <f t="shared" ca="1" si="25"/>
        <v/>
      </c>
      <c r="AO30" s="13" t="str">
        <f t="shared" ref="AO30:BD44" ca="1" si="26">IF(AND($C30="目標",AO$7&gt;=$F30,AO$7&lt;=$F30+$G30-1),2,IF(AND($C30="マイルストーン",AO$7&gt;=$F30,AO$7&lt;=$F30+$G30-1),1,""))</f>
        <v/>
      </c>
      <c r="AP30" s="13" t="str">
        <f t="shared" ca="1" si="26"/>
        <v/>
      </c>
      <c r="AQ30" s="13" t="str">
        <f t="shared" ca="1" si="26"/>
        <v/>
      </c>
      <c r="AR30" s="13" t="str">
        <f t="shared" ca="1" si="26"/>
        <v/>
      </c>
      <c r="AS30" s="13" t="str">
        <f t="shared" ca="1" si="26"/>
        <v/>
      </c>
      <c r="AT30" s="13" t="str">
        <f t="shared" ca="1" si="26"/>
        <v/>
      </c>
      <c r="AU30" s="13" t="str">
        <f t="shared" ca="1" si="26"/>
        <v/>
      </c>
      <c r="AV30" s="13" t="str">
        <f t="shared" ca="1" si="26"/>
        <v/>
      </c>
      <c r="AW30" s="13" t="str">
        <f t="shared" ca="1" si="26"/>
        <v/>
      </c>
      <c r="AX30" s="13" t="str">
        <f t="shared" ca="1" si="26"/>
        <v/>
      </c>
      <c r="AY30" s="13">
        <f t="shared" ca="1" si="26"/>
        <v>1</v>
      </c>
      <c r="AZ30" s="13" t="str">
        <f t="shared" ca="1" si="26"/>
        <v/>
      </c>
      <c r="BA30" s="13" t="str">
        <f t="shared" ca="1" si="26"/>
        <v/>
      </c>
      <c r="BB30" s="13" t="str">
        <f t="shared" ca="1" si="26"/>
        <v/>
      </c>
      <c r="BC30" s="13" t="str">
        <f t="shared" ca="1" si="26"/>
        <v/>
      </c>
      <c r="BD30" s="13" t="str">
        <f t="shared" ca="1" si="26"/>
        <v/>
      </c>
      <c r="BE30" s="13" t="str">
        <f t="shared" ref="BD30:BR47" ca="1" si="27">IF(AND($C30="目標",BE$7&gt;=$F30,BE$7&lt;=$F30+$G30-1),2,IF(AND($C30="マイルストーン",BE$7&gt;=$F30,BE$7&lt;=$F30+$G30-1),1,""))</f>
        <v/>
      </c>
      <c r="BF30" s="13" t="str">
        <f t="shared" ca="1" si="27"/>
        <v/>
      </c>
      <c r="BG30" s="13" t="str">
        <f t="shared" ca="1" si="27"/>
        <v/>
      </c>
      <c r="BH30" s="13" t="str">
        <f t="shared" ca="1" si="27"/>
        <v/>
      </c>
      <c r="BI30" s="13" t="str">
        <f t="shared" ca="1" si="27"/>
        <v/>
      </c>
      <c r="BJ30" s="13" t="str">
        <f t="shared" ca="1" si="27"/>
        <v/>
      </c>
      <c r="BK30" s="13" t="str">
        <f t="shared" ca="1" si="27"/>
        <v/>
      </c>
      <c r="BL30" s="13" t="str">
        <f t="shared" ca="1" si="27"/>
        <v/>
      </c>
      <c r="BM30" s="13" t="str">
        <f t="shared" ca="1" si="27"/>
        <v/>
      </c>
      <c r="BN30" s="13" t="str">
        <f t="shared" ca="1" si="27"/>
        <v/>
      </c>
      <c r="BO30" s="13" t="str">
        <f t="shared" ca="1" si="27"/>
        <v/>
      </c>
      <c r="BP30" s="13" t="str">
        <f t="shared" ca="1" si="27"/>
        <v/>
      </c>
      <c r="BQ30" s="13" t="str">
        <f t="shared" ca="1" si="27"/>
        <v/>
      </c>
      <c r="BR30" s="13" t="str">
        <f t="shared" ca="1" si="27"/>
        <v/>
      </c>
      <c r="BS30" s="13" t="str">
        <f t="shared" ca="1" si="22"/>
        <v/>
      </c>
      <c r="BT30" s="13" t="str">
        <f t="shared" ca="1" si="22"/>
        <v/>
      </c>
      <c r="BU30" s="13" t="str">
        <f t="shared" ca="1" si="22"/>
        <v/>
      </c>
      <c r="BV30" s="13" t="str">
        <f t="shared" ca="1" si="22"/>
        <v/>
      </c>
      <c r="BW30" s="13" t="str">
        <f t="shared" ca="1" si="22"/>
        <v/>
      </c>
      <c r="BX30" s="13" t="str">
        <f t="shared" ca="1" si="22"/>
        <v/>
      </c>
      <c r="BY30" s="13" t="str">
        <f t="shared" ca="1" si="22"/>
        <v/>
      </c>
      <c r="BZ30" s="13" t="str">
        <f t="shared" ca="1" si="22"/>
        <v/>
      </c>
      <c r="CA30" s="13" t="str">
        <f t="shared" ca="1" si="22"/>
        <v/>
      </c>
      <c r="CB30" s="13" t="str">
        <f t="shared" ca="1" si="22"/>
        <v/>
      </c>
      <c r="CC30" s="13" t="str">
        <f t="shared" ca="1" si="22"/>
        <v/>
      </c>
      <c r="CD30" s="13" t="str">
        <f t="shared" ca="1" si="22"/>
        <v/>
      </c>
      <c r="CE30" s="13" t="str">
        <f t="shared" ca="1" si="22"/>
        <v/>
      </c>
      <c r="CF30" s="13" t="str">
        <f t="shared" ca="1" si="22"/>
        <v/>
      </c>
      <c r="CG30" s="13" t="str">
        <f t="shared" ca="1" si="22"/>
        <v/>
      </c>
      <c r="CH30" s="13" t="str">
        <f t="shared" ca="1" si="22"/>
        <v/>
      </c>
      <c r="CI30" s="13" t="str">
        <f t="shared" ca="1" si="22"/>
        <v/>
      </c>
      <c r="CJ30" s="13" t="str">
        <f t="shared" ca="1" si="22"/>
        <v/>
      </c>
      <c r="CK30" s="13" t="str">
        <f t="shared" ca="1" si="22"/>
        <v/>
      </c>
      <c r="CL30" s="13" t="str">
        <f t="shared" ca="1" si="22"/>
        <v/>
      </c>
      <c r="CM30" s="13" t="str">
        <f t="shared" ca="1" si="23"/>
        <v/>
      </c>
      <c r="CN30" s="13" t="str">
        <f t="shared" ca="1" si="23"/>
        <v/>
      </c>
      <c r="CO30" s="13" t="str">
        <f t="shared" ca="1" si="23"/>
        <v/>
      </c>
      <c r="CP30" s="13" t="str">
        <f t="shared" ca="1" si="23"/>
        <v/>
      </c>
      <c r="CQ30" s="13" t="str">
        <f t="shared" ca="1" si="23"/>
        <v/>
      </c>
      <c r="CR30" s="13" t="str">
        <f t="shared" ca="1" si="23"/>
        <v/>
      </c>
      <c r="CS30" s="13" t="str">
        <f t="shared" ca="1" si="23"/>
        <v/>
      </c>
      <c r="CT30" s="13" t="str">
        <f t="shared" ca="1" si="23"/>
        <v/>
      </c>
      <c r="CU30" s="13" t="str">
        <f t="shared" ca="1" si="23"/>
        <v/>
      </c>
      <c r="CV30" s="13" t="str">
        <f t="shared" ca="1" si="23"/>
        <v/>
      </c>
      <c r="CW30" s="13" t="str">
        <f t="shared" ca="1" si="23"/>
        <v/>
      </c>
      <c r="CX30" s="13" t="str">
        <f t="shared" ca="1" si="23"/>
        <v/>
      </c>
      <c r="CY30" s="13" t="str">
        <f t="shared" ca="1" si="23"/>
        <v/>
      </c>
      <c r="CZ30" s="13" t="str">
        <f t="shared" ca="1" si="23"/>
        <v/>
      </c>
      <c r="DA30" s="13" t="str">
        <f t="shared" ca="1" si="23"/>
        <v/>
      </c>
      <c r="DB30" s="13" t="str">
        <f t="shared" ca="1" si="23"/>
        <v/>
      </c>
      <c r="DC30" s="13" t="str">
        <f t="shared" ca="1" si="23"/>
        <v/>
      </c>
      <c r="DD30" s="13" t="str">
        <f t="shared" ca="1" si="23"/>
        <v/>
      </c>
      <c r="DE30" s="13" t="str">
        <f t="shared" ca="1" si="23"/>
        <v/>
      </c>
      <c r="DF30" s="13" t="str">
        <f t="shared" ca="1" si="23"/>
        <v/>
      </c>
      <c r="DG30" s="13" t="str">
        <f t="shared" ca="1" si="23"/>
        <v/>
      </c>
      <c r="DH30" s="13" t="str">
        <f t="shared" ca="1" si="23"/>
        <v/>
      </c>
      <c r="DI30" s="13" t="str">
        <f t="shared" ca="1" si="23"/>
        <v/>
      </c>
      <c r="DJ30" s="13" t="str">
        <f t="shared" ca="1" si="23"/>
        <v/>
      </c>
      <c r="DK30" s="13" t="str">
        <f t="shared" ca="1" si="23"/>
        <v/>
      </c>
      <c r="DL30" s="13" t="str">
        <f t="shared" ca="1" si="23"/>
        <v/>
      </c>
      <c r="DM30" s="13" t="str">
        <f t="shared" ca="1" si="23"/>
        <v/>
      </c>
      <c r="DN30" s="13" t="str">
        <f t="shared" ca="1" si="23"/>
        <v/>
      </c>
      <c r="DO30" s="13" t="str">
        <f t="shared" ca="1" si="23"/>
        <v/>
      </c>
      <c r="DP30" s="13" t="str">
        <f t="shared" ca="1" si="23"/>
        <v/>
      </c>
      <c r="DQ30" s="13" t="str">
        <f t="shared" ca="1" si="23"/>
        <v/>
      </c>
      <c r="DR30" s="13" t="str">
        <f t="shared" ca="1" si="23"/>
        <v/>
      </c>
      <c r="DS30" s="13" t="str">
        <f t="shared" ca="1" si="23"/>
        <v/>
      </c>
      <c r="DT30" s="13" t="str">
        <f t="shared" ca="1" si="23"/>
        <v/>
      </c>
      <c r="DU30" s="13" t="str">
        <f t="shared" ca="1" si="23"/>
        <v/>
      </c>
      <c r="DV30" s="13" t="str">
        <f t="shared" ca="1" si="23"/>
        <v/>
      </c>
      <c r="DW30" s="13" t="str">
        <f t="shared" ca="1" si="23"/>
        <v/>
      </c>
      <c r="DX30" s="13" t="str">
        <f t="shared" ca="1" si="23"/>
        <v/>
      </c>
      <c r="DY30" s="13" t="str">
        <f t="shared" ca="1" si="23"/>
        <v/>
      </c>
      <c r="DZ30" s="13" t="str">
        <f t="shared" ca="1" si="23"/>
        <v/>
      </c>
      <c r="EA30" s="13" t="str">
        <f t="shared" ca="1" si="23"/>
        <v/>
      </c>
      <c r="EB30" s="13" t="str">
        <f t="shared" ca="1" si="23"/>
        <v/>
      </c>
      <c r="EC30" s="13" t="str">
        <f t="shared" ca="1" si="23"/>
        <v/>
      </c>
      <c r="ED30" s="13" t="str">
        <f t="shared" ca="1" si="23"/>
        <v/>
      </c>
      <c r="EE30" s="13" t="str">
        <f t="shared" ca="1" si="23"/>
        <v/>
      </c>
      <c r="EF30" s="13" t="str">
        <f t="shared" ca="1" si="23"/>
        <v/>
      </c>
      <c r="EG30" s="13" t="str">
        <f t="shared" ca="1" si="23"/>
        <v/>
      </c>
      <c r="EH30" s="13" t="str">
        <f t="shared" ca="1" si="23"/>
        <v/>
      </c>
      <c r="EI30" s="13" t="str">
        <f t="shared" ca="1" si="23"/>
        <v/>
      </c>
      <c r="EJ30" s="13" t="str">
        <f t="shared" ca="1" si="23"/>
        <v/>
      </c>
    </row>
    <row r="31" spans="1:140" s="1" customFormat="1" ht="40.15" customHeight="1" x14ac:dyDescent="0.25">
      <c r="A31" s="4"/>
      <c r="B31" s="52" t="s">
        <v>20</v>
      </c>
      <c r="C31" s="47" t="s">
        <v>10</v>
      </c>
      <c r="D31" s="47"/>
      <c r="E31" s="48">
        <v>0</v>
      </c>
      <c r="F31" s="49">
        <f>F27+1</f>
        <v>44375</v>
      </c>
      <c r="G31" s="50">
        <v>7</v>
      </c>
      <c r="H31" s="51"/>
      <c r="I31" s="13" t="str">
        <f t="shared" ca="1" si="24"/>
        <v/>
      </c>
      <c r="J31" s="13" t="str">
        <f t="shared" ca="1" si="24"/>
        <v/>
      </c>
      <c r="K31" s="13" t="str">
        <f t="shared" ca="1" si="24"/>
        <v/>
      </c>
      <c r="L31" s="13" t="str">
        <f t="shared" ca="1" si="24"/>
        <v/>
      </c>
      <c r="M31" s="13" t="str">
        <f t="shared" ca="1" si="24"/>
        <v/>
      </c>
      <c r="N31" s="13" t="str">
        <f t="shared" ca="1" si="24"/>
        <v/>
      </c>
      <c r="O31" s="13" t="str">
        <f t="shared" ca="1" si="24"/>
        <v/>
      </c>
      <c r="P31" s="13" t="str">
        <f t="shared" ca="1" si="24"/>
        <v/>
      </c>
      <c r="Q31" s="13" t="str">
        <f t="shared" ca="1" si="24"/>
        <v/>
      </c>
      <c r="R31" s="13" t="str">
        <f t="shared" ca="1" si="24"/>
        <v/>
      </c>
      <c r="S31" s="13" t="str">
        <f t="shared" ca="1" si="24"/>
        <v/>
      </c>
      <c r="T31" s="13" t="str">
        <f t="shared" ca="1" si="24"/>
        <v/>
      </c>
      <c r="U31" s="13" t="str">
        <f t="shared" ca="1" si="24"/>
        <v/>
      </c>
      <c r="V31" s="13" t="str">
        <f t="shared" ca="1" si="24"/>
        <v/>
      </c>
      <c r="W31" s="13" t="str">
        <f t="shared" ca="1" si="24"/>
        <v/>
      </c>
      <c r="X31" s="13" t="str">
        <f t="shared" ca="1" si="24"/>
        <v/>
      </c>
      <c r="Y31" s="13" t="str">
        <f t="shared" ca="1" si="25"/>
        <v/>
      </c>
      <c r="Z31" s="13" t="str">
        <f t="shared" ca="1" si="25"/>
        <v/>
      </c>
      <c r="AA31" s="13" t="str">
        <f t="shared" ca="1" si="25"/>
        <v/>
      </c>
      <c r="AB31" s="13" t="str">
        <f t="shared" ca="1" si="25"/>
        <v/>
      </c>
      <c r="AC31" s="13" t="str">
        <f t="shared" ca="1" si="25"/>
        <v/>
      </c>
      <c r="AD31" s="13" t="str">
        <f t="shared" ca="1" si="25"/>
        <v/>
      </c>
      <c r="AE31" s="13" t="str">
        <f t="shared" ca="1" si="25"/>
        <v/>
      </c>
      <c r="AF31" s="13" t="str">
        <f t="shared" ca="1" si="25"/>
        <v/>
      </c>
      <c r="AG31" s="13" t="str">
        <f t="shared" ca="1" si="25"/>
        <v/>
      </c>
      <c r="AH31" s="13" t="str">
        <f t="shared" ca="1" si="25"/>
        <v/>
      </c>
      <c r="AI31" s="13" t="str">
        <f t="shared" ca="1" si="25"/>
        <v/>
      </c>
      <c r="AJ31" s="13" t="str">
        <f t="shared" ca="1" si="25"/>
        <v/>
      </c>
      <c r="AK31" s="13" t="str">
        <f t="shared" ca="1" si="25"/>
        <v/>
      </c>
      <c r="AL31" s="13" t="str">
        <f t="shared" ca="1" si="25"/>
        <v/>
      </c>
      <c r="AM31" s="13" t="str">
        <f t="shared" ca="1" si="25"/>
        <v/>
      </c>
      <c r="AN31" s="13" t="str">
        <f t="shared" ca="1" si="25"/>
        <v/>
      </c>
      <c r="AO31" s="13" t="str">
        <f t="shared" ca="1" si="26"/>
        <v/>
      </c>
      <c r="AP31" s="13" t="str">
        <f t="shared" ca="1" si="26"/>
        <v/>
      </c>
      <c r="AQ31" s="13" t="str">
        <f t="shared" ca="1" si="26"/>
        <v/>
      </c>
      <c r="AR31" s="13" t="str">
        <f t="shared" ca="1" si="26"/>
        <v/>
      </c>
      <c r="AS31" s="13" t="str">
        <f t="shared" ca="1" si="26"/>
        <v/>
      </c>
      <c r="AT31" s="13" t="str">
        <f t="shared" ca="1" si="26"/>
        <v/>
      </c>
      <c r="AU31" s="13" t="str">
        <f t="shared" ca="1" si="26"/>
        <v/>
      </c>
      <c r="AV31" s="13" t="str">
        <f t="shared" ca="1" si="26"/>
        <v/>
      </c>
      <c r="AW31" s="13" t="str">
        <f t="shared" ca="1" si="26"/>
        <v/>
      </c>
      <c r="AX31" s="13" t="str">
        <f t="shared" ca="1" si="26"/>
        <v/>
      </c>
      <c r="AY31" s="13" t="str">
        <f t="shared" ca="1" si="26"/>
        <v/>
      </c>
      <c r="AZ31" s="13" t="str">
        <f t="shared" ca="1" si="26"/>
        <v/>
      </c>
      <c r="BA31" s="13" t="str">
        <f t="shared" ca="1" si="26"/>
        <v/>
      </c>
      <c r="BB31" s="13" t="str">
        <f t="shared" ca="1" si="26"/>
        <v/>
      </c>
      <c r="BC31" s="13" t="str">
        <f t="shared" ca="1" si="26"/>
        <v/>
      </c>
      <c r="BD31" s="13" t="str">
        <f t="shared" ca="1" si="27"/>
        <v/>
      </c>
      <c r="BE31" s="13" t="str">
        <f t="shared" ca="1" si="27"/>
        <v/>
      </c>
      <c r="BF31" s="13" t="str">
        <f t="shared" ca="1" si="27"/>
        <v/>
      </c>
      <c r="BG31" s="13" t="str">
        <f t="shared" ca="1" si="27"/>
        <v/>
      </c>
      <c r="BH31" s="13" t="str">
        <f t="shared" ca="1" si="27"/>
        <v/>
      </c>
      <c r="BI31" s="13" t="str">
        <f t="shared" ca="1" si="27"/>
        <v/>
      </c>
      <c r="BJ31" s="13" t="str">
        <f t="shared" ca="1" si="27"/>
        <v/>
      </c>
      <c r="BK31" s="13" t="str">
        <f t="shared" ca="1" si="27"/>
        <v/>
      </c>
      <c r="BL31" s="13" t="str">
        <f t="shared" ca="1" si="27"/>
        <v/>
      </c>
      <c r="BM31" s="13" t="str">
        <f t="shared" ca="1" si="27"/>
        <v/>
      </c>
      <c r="BN31" s="13" t="str">
        <f t="shared" ca="1" si="27"/>
        <v/>
      </c>
      <c r="BO31" s="13" t="str">
        <f t="shared" ca="1" si="27"/>
        <v/>
      </c>
      <c r="BP31" s="13" t="str">
        <f t="shared" ca="1" si="27"/>
        <v/>
      </c>
      <c r="BQ31" s="13" t="str">
        <f t="shared" ca="1" si="27"/>
        <v/>
      </c>
      <c r="BR31" s="13" t="str">
        <f t="shared" ca="1" si="27"/>
        <v/>
      </c>
      <c r="BS31" s="13" t="str">
        <f t="shared" ca="1" si="22"/>
        <v/>
      </c>
      <c r="BT31" s="13" t="str">
        <f t="shared" ca="1" si="22"/>
        <v/>
      </c>
      <c r="BU31" s="13" t="str">
        <f t="shared" ca="1" si="22"/>
        <v/>
      </c>
      <c r="BV31" s="13" t="str">
        <f t="shared" ca="1" si="22"/>
        <v/>
      </c>
      <c r="BW31" s="13" t="str">
        <f t="shared" ca="1" si="22"/>
        <v/>
      </c>
      <c r="BX31" s="13" t="str">
        <f t="shared" ca="1" si="22"/>
        <v/>
      </c>
      <c r="BY31" s="13" t="str">
        <f t="shared" ca="1" si="22"/>
        <v/>
      </c>
      <c r="BZ31" s="13" t="str">
        <f t="shared" ca="1" si="22"/>
        <v/>
      </c>
      <c r="CA31" s="13" t="str">
        <f t="shared" ca="1" si="22"/>
        <v/>
      </c>
      <c r="CB31" s="13" t="str">
        <f t="shared" ca="1" si="22"/>
        <v/>
      </c>
      <c r="CC31" s="13" t="str">
        <f t="shared" ca="1" si="22"/>
        <v/>
      </c>
      <c r="CD31" s="13" t="str">
        <f t="shared" ca="1" si="22"/>
        <v/>
      </c>
      <c r="CE31" s="13" t="str">
        <f t="shared" ca="1" si="22"/>
        <v/>
      </c>
      <c r="CF31" s="13" t="str">
        <f t="shared" ca="1" si="22"/>
        <v/>
      </c>
      <c r="CG31" s="13" t="str">
        <f t="shared" ca="1" si="22"/>
        <v/>
      </c>
      <c r="CH31" s="13" t="str">
        <f t="shared" ca="1" si="22"/>
        <v/>
      </c>
      <c r="CI31" s="13" t="str">
        <f t="shared" ca="1" si="22"/>
        <v/>
      </c>
      <c r="CJ31" s="13" t="str">
        <f t="shared" ca="1" si="22"/>
        <v/>
      </c>
      <c r="CK31" s="13" t="str">
        <f t="shared" ca="1" si="22"/>
        <v/>
      </c>
      <c r="CL31" s="13" t="str">
        <f t="shared" ca="1" si="22"/>
        <v/>
      </c>
      <c r="CM31" s="13" t="str">
        <f t="shared" ca="1" si="23"/>
        <v/>
      </c>
      <c r="CN31" s="13" t="str">
        <f t="shared" ca="1" si="23"/>
        <v/>
      </c>
      <c r="CO31" s="13" t="str">
        <f t="shared" ca="1" si="23"/>
        <v/>
      </c>
      <c r="CP31" s="13" t="str">
        <f t="shared" ca="1" si="23"/>
        <v/>
      </c>
      <c r="CQ31" s="13" t="str">
        <f t="shared" ca="1" si="23"/>
        <v/>
      </c>
      <c r="CR31" s="13" t="str">
        <f t="shared" ca="1" si="23"/>
        <v/>
      </c>
      <c r="CS31" s="13" t="str">
        <f t="shared" ca="1" si="23"/>
        <v/>
      </c>
      <c r="CT31" s="13" t="str">
        <f t="shared" ca="1" si="23"/>
        <v/>
      </c>
      <c r="CU31" s="13" t="str">
        <f t="shared" ca="1" si="23"/>
        <v/>
      </c>
      <c r="CV31" s="13" t="str">
        <f t="shared" ca="1" si="23"/>
        <v/>
      </c>
      <c r="CW31" s="13" t="str">
        <f t="shared" ca="1" si="23"/>
        <v/>
      </c>
      <c r="CX31" s="13" t="str">
        <f t="shared" ca="1" si="23"/>
        <v/>
      </c>
      <c r="CY31" s="13" t="str">
        <f t="shared" ca="1" si="23"/>
        <v/>
      </c>
      <c r="CZ31" s="13" t="str">
        <f t="shared" ca="1" si="23"/>
        <v/>
      </c>
      <c r="DA31" s="13" t="str">
        <f t="shared" ca="1" si="23"/>
        <v/>
      </c>
      <c r="DB31" s="13" t="str">
        <f t="shared" ca="1" si="23"/>
        <v/>
      </c>
      <c r="DC31" s="13" t="str">
        <f t="shared" ca="1" si="23"/>
        <v/>
      </c>
      <c r="DD31" s="13" t="str">
        <f t="shared" ca="1" si="23"/>
        <v/>
      </c>
      <c r="DE31" s="13" t="str">
        <f t="shared" ca="1" si="23"/>
        <v/>
      </c>
      <c r="DF31" s="13" t="str">
        <f t="shared" ca="1" si="23"/>
        <v/>
      </c>
      <c r="DG31" s="13" t="str">
        <f t="shared" ref="CM31:EJ36" ca="1" si="28">IF(AND($C31="目標",DG$7&gt;=$F31,DG$7&lt;=$F31+$G31-1),2,IF(AND($C31="マイルストーン",DG$7&gt;=$F31,DG$7&lt;=$F31+$G31-1),1,""))</f>
        <v/>
      </c>
      <c r="DH31" s="13" t="str">
        <f t="shared" ca="1" si="28"/>
        <v/>
      </c>
      <c r="DI31" s="13" t="str">
        <f t="shared" ca="1" si="28"/>
        <v/>
      </c>
      <c r="DJ31" s="13" t="str">
        <f t="shared" ca="1" si="28"/>
        <v/>
      </c>
      <c r="DK31" s="13" t="str">
        <f t="shared" ca="1" si="28"/>
        <v/>
      </c>
      <c r="DL31" s="13" t="str">
        <f t="shared" ca="1" si="28"/>
        <v/>
      </c>
      <c r="DM31" s="13" t="str">
        <f t="shared" ca="1" si="28"/>
        <v/>
      </c>
      <c r="DN31" s="13" t="str">
        <f t="shared" ca="1" si="28"/>
        <v/>
      </c>
      <c r="DO31" s="13" t="str">
        <f t="shared" ca="1" si="28"/>
        <v/>
      </c>
      <c r="DP31" s="13" t="str">
        <f t="shared" ca="1" si="28"/>
        <v/>
      </c>
      <c r="DQ31" s="13" t="str">
        <f t="shared" ca="1" si="28"/>
        <v/>
      </c>
      <c r="DR31" s="13" t="str">
        <f t="shared" ca="1" si="28"/>
        <v/>
      </c>
      <c r="DS31" s="13" t="str">
        <f t="shared" ca="1" si="28"/>
        <v/>
      </c>
      <c r="DT31" s="13" t="str">
        <f t="shared" ca="1" si="28"/>
        <v/>
      </c>
      <c r="DU31" s="13" t="str">
        <f t="shared" ca="1" si="28"/>
        <v/>
      </c>
      <c r="DV31" s="13" t="str">
        <f t="shared" ca="1" si="28"/>
        <v/>
      </c>
      <c r="DW31" s="13" t="str">
        <f t="shared" ca="1" si="28"/>
        <v/>
      </c>
      <c r="DX31" s="13" t="str">
        <f t="shared" ca="1" si="28"/>
        <v/>
      </c>
      <c r="DY31" s="13" t="str">
        <f t="shared" ca="1" si="28"/>
        <v/>
      </c>
      <c r="DZ31" s="13" t="str">
        <f t="shared" ca="1" si="28"/>
        <v/>
      </c>
      <c r="EA31" s="13" t="str">
        <f t="shared" ca="1" si="28"/>
        <v/>
      </c>
      <c r="EB31" s="13" t="str">
        <f t="shared" ca="1" si="28"/>
        <v/>
      </c>
      <c r="EC31" s="13" t="str">
        <f t="shared" ca="1" si="28"/>
        <v/>
      </c>
      <c r="ED31" s="13" t="str">
        <f t="shared" ca="1" si="28"/>
        <v/>
      </c>
      <c r="EE31" s="13" t="str">
        <f t="shared" ca="1" si="28"/>
        <v/>
      </c>
      <c r="EF31" s="13" t="str">
        <f t="shared" ca="1" si="28"/>
        <v/>
      </c>
      <c r="EG31" s="13" t="str">
        <f t="shared" ca="1" si="28"/>
        <v/>
      </c>
      <c r="EH31" s="13" t="str">
        <f t="shared" ca="1" si="28"/>
        <v/>
      </c>
      <c r="EI31" s="13" t="str">
        <f t="shared" ca="1" si="28"/>
        <v/>
      </c>
      <c r="EJ31" s="13" t="str">
        <f t="shared" ca="1" si="28"/>
        <v/>
      </c>
    </row>
    <row r="32" spans="1:140" s="1" customFormat="1" ht="40.15" customHeight="1" x14ac:dyDescent="0.25">
      <c r="A32" s="4"/>
      <c r="B32" s="46" t="s">
        <v>35</v>
      </c>
      <c r="C32" s="47"/>
      <c r="D32" s="47"/>
      <c r="E32" s="48"/>
      <c r="F32" s="49"/>
      <c r="G32" s="50"/>
      <c r="H32" s="51"/>
      <c r="I32" s="13" t="str">
        <f t="shared" ca="1" si="24"/>
        <v/>
      </c>
      <c r="J32" s="13" t="str">
        <f t="shared" ca="1" si="24"/>
        <v/>
      </c>
      <c r="K32" s="13" t="str">
        <f t="shared" ca="1" si="24"/>
        <v/>
      </c>
      <c r="L32" s="13" t="str">
        <f t="shared" ca="1" si="24"/>
        <v/>
      </c>
      <c r="M32" s="13" t="str">
        <f t="shared" ca="1" si="24"/>
        <v/>
      </c>
      <c r="N32" s="13" t="str">
        <f t="shared" ca="1" si="24"/>
        <v/>
      </c>
      <c r="O32" s="13" t="str">
        <f t="shared" ca="1" si="24"/>
        <v/>
      </c>
      <c r="P32" s="13" t="str">
        <f t="shared" ca="1" si="24"/>
        <v/>
      </c>
      <c r="Q32" s="13" t="str">
        <f t="shared" ca="1" si="24"/>
        <v/>
      </c>
      <c r="R32" s="13" t="str">
        <f t="shared" ca="1" si="24"/>
        <v/>
      </c>
      <c r="S32" s="13" t="str">
        <f t="shared" ca="1" si="24"/>
        <v/>
      </c>
      <c r="T32" s="13" t="str">
        <f t="shared" ca="1" si="24"/>
        <v/>
      </c>
      <c r="U32" s="13" t="str">
        <f t="shared" ca="1" si="24"/>
        <v/>
      </c>
      <c r="V32" s="13" t="str">
        <f t="shared" ca="1" si="24"/>
        <v/>
      </c>
      <c r="W32" s="13" t="str">
        <f t="shared" ca="1" si="24"/>
        <v/>
      </c>
      <c r="X32" s="13" t="str">
        <f t="shared" ca="1" si="24"/>
        <v/>
      </c>
      <c r="Y32" s="13" t="str">
        <f t="shared" ca="1" si="25"/>
        <v/>
      </c>
      <c r="Z32" s="13" t="str">
        <f t="shared" ca="1" si="25"/>
        <v/>
      </c>
      <c r="AA32" s="13" t="str">
        <f t="shared" ca="1" si="25"/>
        <v/>
      </c>
      <c r="AB32" s="13" t="str">
        <f t="shared" ca="1" si="25"/>
        <v/>
      </c>
      <c r="AC32" s="13" t="str">
        <f t="shared" ca="1" si="25"/>
        <v/>
      </c>
      <c r="AD32" s="13" t="str">
        <f t="shared" ca="1" si="25"/>
        <v/>
      </c>
      <c r="AE32" s="13" t="str">
        <f t="shared" ca="1" si="25"/>
        <v/>
      </c>
      <c r="AF32" s="13" t="str">
        <f t="shared" ca="1" si="25"/>
        <v/>
      </c>
      <c r="AG32" s="13" t="str">
        <f t="shared" ca="1" si="25"/>
        <v/>
      </c>
      <c r="AH32" s="13" t="str">
        <f t="shared" ca="1" si="25"/>
        <v/>
      </c>
      <c r="AI32" s="13" t="str">
        <f t="shared" ca="1" si="25"/>
        <v/>
      </c>
      <c r="AJ32" s="13" t="str">
        <f t="shared" ca="1" si="25"/>
        <v/>
      </c>
      <c r="AK32" s="13" t="str">
        <f t="shared" ca="1" si="25"/>
        <v/>
      </c>
      <c r="AL32" s="13" t="str">
        <f t="shared" ca="1" si="25"/>
        <v/>
      </c>
      <c r="AM32" s="13" t="str">
        <f t="shared" ca="1" si="25"/>
        <v/>
      </c>
      <c r="AN32" s="13" t="str">
        <f t="shared" ca="1" si="25"/>
        <v/>
      </c>
      <c r="AO32" s="13" t="str">
        <f t="shared" ca="1" si="26"/>
        <v/>
      </c>
      <c r="AP32" s="13" t="str">
        <f t="shared" ca="1" si="26"/>
        <v/>
      </c>
      <c r="AQ32" s="13" t="str">
        <f t="shared" ca="1" si="26"/>
        <v/>
      </c>
      <c r="AR32" s="13" t="str">
        <f t="shared" ca="1" si="26"/>
        <v/>
      </c>
      <c r="AS32" s="13" t="str">
        <f t="shared" ca="1" si="26"/>
        <v/>
      </c>
      <c r="AT32" s="13" t="str">
        <f t="shared" ca="1" si="26"/>
        <v/>
      </c>
      <c r="AU32" s="13" t="str">
        <f t="shared" ca="1" si="26"/>
        <v/>
      </c>
      <c r="AV32" s="13" t="str">
        <f t="shared" ca="1" si="26"/>
        <v/>
      </c>
      <c r="AW32" s="13" t="str">
        <f t="shared" ca="1" si="26"/>
        <v/>
      </c>
      <c r="AX32" s="13" t="str">
        <f t="shared" ca="1" si="26"/>
        <v/>
      </c>
      <c r="AY32" s="13" t="str">
        <f t="shared" ca="1" si="26"/>
        <v/>
      </c>
      <c r="AZ32" s="13" t="str">
        <f t="shared" ca="1" si="26"/>
        <v/>
      </c>
      <c r="BA32" s="13" t="str">
        <f t="shared" ca="1" si="26"/>
        <v/>
      </c>
      <c r="BB32" s="13" t="str">
        <f t="shared" ca="1" si="26"/>
        <v/>
      </c>
      <c r="BC32" s="13" t="str">
        <f t="shared" ca="1" si="26"/>
        <v/>
      </c>
      <c r="BD32" s="13" t="str">
        <f t="shared" ca="1" si="27"/>
        <v/>
      </c>
      <c r="BE32" s="13" t="str">
        <f t="shared" ca="1" si="27"/>
        <v/>
      </c>
      <c r="BF32" s="13" t="str">
        <f t="shared" ca="1" si="27"/>
        <v/>
      </c>
      <c r="BG32" s="13" t="str">
        <f t="shared" ca="1" si="27"/>
        <v/>
      </c>
      <c r="BH32" s="13" t="str">
        <f t="shared" ca="1" si="27"/>
        <v/>
      </c>
      <c r="BI32" s="13" t="str">
        <f t="shared" ca="1" si="27"/>
        <v/>
      </c>
      <c r="BJ32" s="13" t="str">
        <f t="shared" ca="1" si="27"/>
        <v/>
      </c>
      <c r="BK32" s="13" t="str">
        <f t="shared" ca="1" si="27"/>
        <v/>
      </c>
      <c r="BL32" s="13" t="str">
        <f t="shared" ca="1" si="27"/>
        <v/>
      </c>
      <c r="BM32" s="13" t="str">
        <f t="shared" ca="1" si="27"/>
        <v/>
      </c>
      <c r="BN32" s="13" t="str">
        <f t="shared" ca="1" si="27"/>
        <v/>
      </c>
      <c r="BO32" s="13" t="str">
        <f t="shared" ca="1" si="27"/>
        <v/>
      </c>
      <c r="BP32" s="13" t="str">
        <f t="shared" ca="1" si="27"/>
        <v/>
      </c>
      <c r="BQ32" s="13" t="str">
        <f t="shared" ca="1" si="27"/>
        <v/>
      </c>
      <c r="BR32" s="13" t="str">
        <f t="shared" ca="1" si="27"/>
        <v/>
      </c>
      <c r="BS32" s="13" t="str">
        <f t="shared" ca="1" si="22"/>
        <v/>
      </c>
      <c r="BT32" s="13" t="str">
        <f t="shared" ca="1" si="22"/>
        <v/>
      </c>
      <c r="BU32" s="13" t="str">
        <f t="shared" ca="1" si="22"/>
        <v/>
      </c>
      <c r="BV32" s="13" t="str">
        <f t="shared" ca="1" si="22"/>
        <v/>
      </c>
      <c r="BW32" s="13" t="str">
        <f t="shared" ca="1" si="22"/>
        <v/>
      </c>
      <c r="BX32" s="13" t="str">
        <f t="shared" ca="1" si="22"/>
        <v/>
      </c>
      <c r="BY32" s="13" t="str">
        <f t="shared" ca="1" si="22"/>
        <v/>
      </c>
      <c r="BZ32" s="13" t="str">
        <f t="shared" ca="1" si="22"/>
        <v/>
      </c>
      <c r="CA32" s="13" t="str">
        <f t="shared" ca="1" si="22"/>
        <v/>
      </c>
      <c r="CB32" s="13" t="str">
        <f t="shared" ca="1" si="22"/>
        <v/>
      </c>
      <c r="CC32" s="13" t="str">
        <f t="shared" ca="1" si="22"/>
        <v/>
      </c>
      <c r="CD32" s="13" t="str">
        <f t="shared" ca="1" si="22"/>
        <v/>
      </c>
      <c r="CE32" s="13" t="str">
        <f t="shared" ca="1" si="22"/>
        <v/>
      </c>
      <c r="CF32" s="13" t="str">
        <f t="shared" ca="1" si="22"/>
        <v/>
      </c>
      <c r="CG32" s="13" t="str">
        <f t="shared" ca="1" si="22"/>
        <v/>
      </c>
      <c r="CH32" s="13" t="str">
        <f t="shared" ca="1" si="22"/>
        <v/>
      </c>
      <c r="CI32" s="13" t="str">
        <f t="shared" ca="1" si="22"/>
        <v/>
      </c>
      <c r="CJ32" s="13" t="str">
        <f t="shared" ca="1" si="22"/>
        <v/>
      </c>
      <c r="CK32" s="13" t="str">
        <f t="shared" ca="1" si="22"/>
        <v/>
      </c>
      <c r="CL32" s="13" t="str">
        <f t="shared" ca="1" si="22"/>
        <v/>
      </c>
      <c r="CM32" s="13" t="str">
        <f t="shared" ca="1" si="28"/>
        <v/>
      </c>
      <c r="CN32" s="13" t="str">
        <f t="shared" ca="1" si="28"/>
        <v/>
      </c>
      <c r="CO32" s="13" t="str">
        <f t="shared" ca="1" si="28"/>
        <v/>
      </c>
      <c r="CP32" s="13" t="str">
        <f t="shared" ca="1" si="28"/>
        <v/>
      </c>
      <c r="CQ32" s="13" t="str">
        <f t="shared" ca="1" si="28"/>
        <v/>
      </c>
      <c r="CR32" s="13" t="str">
        <f t="shared" ca="1" si="28"/>
        <v/>
      </c>
      <c r="CS32" s="13" t="str">
        <f t="shared" ca="1" si="28"/>
        <v/>
      </c>
      <c r="CT32" s="13" t="str">
        <f t="shared" ca="1" si="28"/>
        <v/>
      </c>
      <c r="CU32" s="13" t="str">
        <f t="shared" ca="1" si="28"/>
        <v/>
      </c>
      <c r="CV32" s="13" t="str">
        <f t="shared" ca="1" si="28"/>
        <v/>
      </c>
      <c r="CW32" s="13" t="str">
        <f t="shared" ca="1" si="28"/>
        <v/>
      </c>
      <c r="CX32" s="13" t="str">
        <f t="shared" ca="1" si="28"/>
        <v/>
      </c>
      <c r="CY32" s="13" t="str">
        <f t="shared" ca="1" si="28"/>
        <v/>
      </c>
      <c r="CZ32" s="13" t="str">
        <f t="shared" ca="1" si="28"/>
        <v/>
      </c>
      <c r="DA32" s="13" t="str">
        <f t="shared" ca="1" si="28"/>
        <v/>
      </c>
      <c r="DB32" s="13" t="str">
        <f t="shared" ca="1" si="28"/>
        <v/>
      </c>
      <c r="DC32" s="13" t="str">
        <f t="shared" ca="1" si="28"/>
        <v/>
      </c>
      <c r="DD32" s="13" t="str">
        <f t="shared" ca="1" si="28"/>
        <v/>
      </c>
      <c r="DE32" s="13" t="str">
        <f t="shared" ca="1" si="28"/>
        <v/>
      </c>
      <c r="DF32" s="13" t="str">
        <f t="shared" ca="1" si="28"/>
        <v/>
      </c>
      <c r="DG32" s="13" t="str">
        <f t="shared" ca="1" si="28"/>
        <v/>
      </c>
      <c r="DH32" s="13" t="str">
        <f t="shared" ca="1" si="28"/>
        <v/>
      </c>
      <c r="DI32" s="13" t="str">
        <f t="shared" ca="1" si="28"/>
        <v/>
      </c>
      <c r="DJ32" s="13" t="str">
        <f t="shared" ca="1" si="28"/>
        <v/>
      </c>
      <c r="DK32" s="13" t="str">
        <f t="shared" ca="1" si="28"/>
        <v/>
      </c>
      <c r="DL32" s="13" t="str">
        <f t="shared" ca="1" si="28"/>
        <v/>
      </c>
      <c r="DM32" s="13" t="str">
        <f t="shared" ca="1" si="28"/>
        <v/>
      </c>
      <c r="DN32" s="13" t="str">
        <f t="shared" ca="1" si="28"/>
        <v/>
      </c>
      <c r="DO32" s="13" t="str">
        <f t="shared" ca="1" si="28"/>
        <v/>
      </c>
      <c r="DP32" s="13" t="str">
        <f t="shared" ca="1" si="28"/>
        <v/>
      </c>
      <c r="DQ32" s="13" t="str">
        <f t="shared" ca="1" si="28"/>
        <v/>
      </c>
      <c r="DR32" s="13" t="str">
        <f t="shared" ca="1" si="28"/>
        <v/>
      </c>
      <c r="DS32" s="13" t="str">
        <f t="shared" ca="1" si="28"/>
        <v/>
      </c>
      <c r="DT32" s="13" t="str">
        <f t="shared" ca="1" si="28"/>
        <v/>
      </c>
      <c r="DU32" s="13" t="str">
        <f t="shared" ca="1" si="28"/>
        <v/>
      </c>
      <c r="DV32" s="13" t="str">
        <f t="shared" ca="1" si="28"/>
        <v/>
      </c>
      <c r="DW32" s="13" t="str">
        <f t="shared" ca="1" si="28"/>
        <v/>
      </c>
      <c r="DX32" s="13" t="str">
        <f t="shared" ca="1" si="28"/>
        <v/>
      </c>
      <c r="DY32" s="13" t="str">
        <f t="shared" ca="1" si="28"/>
        <v/>
      </c>
      <c r="DZ32" s="13" t="str">
        <f t="shared" ca="1" si="28"/>
        <v/>
      </c>
      <c r="EA32" s="13" t="str">
        <f t="shared" ca="1" si="28"/>
        <v/>
      </c>
      <c r="EB32" s="13" t="str">
        <f t="shared" ca="1" si="28"/>
        <v/>
      </c>
      <c r="EC32" s="13" t="str">
        <f t="shared" ca="1" si="28"/>
        <v/>
      </c>
      <c r="ED32" s="13" t="str">
        <f t="shared" ca="1" si="28"/>
        <v/>
      </c>
      <c r="EE32" s="13" t="str">
        <f t="shared" ca="1" si="28"/>
        <v/>
      </c>
      <c r="EF32" s="13" t="str">
        <f t="shared" ca="1" si="28"/>
        <v/>
      </c>
      <c r="EG32" s="13" t="str">
        <f t="shared" ca="1" si="28"/>
        <v/>
      </c>
      <c r="EH32" s="13" t="str">
        <f t="shared" ca="1" si="28"/>
        <v/>
      </c>
      <c r="EI32" s="13" t="str">
        <f t="shared" ca="1" si="28"/>
        <v/>
      </c>
      <c r="EJ32" s="13" t="str">
        <f t="shared" ca="1" si="28"/>
        <v/>
      </c>
    </row>
    <row r="33" spans="1:140" s="1" customFormat="1" ht="40.15" customHeight="1" x14ac:dyDescent="0.25">
      <c r="A33" s="4"/>
      <c r="B33" s="52" t="s">
        <v>19</v>
      </c>
      <c r="C33" s="47" t="s">
        <v>6</v>
      </c>
      <c r="D33" s="71"/>
      <c r="E33" s="48"/>
      <c r="F33" s="49">
        <f>F30+7</f>
        <v>44388</v>
      </c>
      <c r="G33" s="50">
        <v>1</v>
      </c>
      <c r="H33" s="51"/>
      <c r="I33" s="13" t="str">
        <f t="shared" ca="1" si="24"/>
        <v/>
      </c>
      <c r="J33" s="13" t="str">
        <f t="shared" ca="1" si="24"/>
        <v/>
      </c>
      <c r="K33" s="13" t="str">
        <f t="shared" ca="1" si="24"/>
        <v/>
      </c>
      <c r="L33" s="13" t="str">
        <f t="shared" ca="1" si="24"/>
        <v/>
      </c>
      <c r="M33" s="13" t="str">
        <f t="shared" ca="1" si="24"/>
        <v/>
      </c>
      <c r="N33" s="13" t="str">
        <f t="shared" ca="1" si="24"/>
        <v/>
      </c>
      <c r="O33" s="13" t="str">
        <f t="shared" ca="1" si="24"/>
        <v/>
      </c>
      <c r="P33" s="13" t="str">
        <f t="shared" ca="1" si="24"/>
        <v/>
      </c>
      <c r="Q33" s="13" t="str">
        <f t="shared" ca="1" si="24"/>
        <v/>
      </c>
      <c r="R33" s="13" t="str">
        <f t="shared" ca="1" si="24"/>
        <v/>
      </c>
      <c r="S33" s="13" t="str">
        <f t="shared" ca="1" si="24"/>
        <v/>
      </c>
      <c r="T33" s="13" t="str">
        <f t="shared" ca="1" si="24"/>
        <v/>
      </c>
      <c r="U33" s="13" t="str">
        <f t="shared" ca="1" si="24"/>
        <v/>
      </c>
      <c r="V33" s="13" t="str">
        <f t="shared" ca="1" si="24"/>
        <v/>
      </c>
      <c r="W33" s="13" t="str">
        <f t="shared" ca="1" si="24"/>
        <v/>
      </c>
      <c r="X33" s="13" t="str">
        <f t="shared" ca="1" si="24"/>
        <v/>
      </c>
      <c r="Y33" s="13" t="str">
        <f t="shared" ca="1" si="25"/>
        <v/>
      </c>
      <c r="Z33" s="13" t="str">
        <f t="shared" ca="1" si="25"/>
        <v/>
      </c>
      <c r="AA33" s="13" t="str">
        <f t="shared" ca="1" si="25"/>
        <v/>
      </c>
      <c r="AB33" s="13" t="str">
        <f t="shared" ca="1" si="25"/>
        <v/>
      </c>
      <c r="AC33" s="13" t="str">
        <f t="shared" ca="1" si="25"/>
        <v/>
      </c>
      <c r="AD33" s="13" t="str">
        <f t="shared" ca="1" si="25"/>
        <v/>
      </c>
      <c r="AE33" s="13" t="str">
        <f t="shared" ca="1" si="25"/>
        <v/>
      </c>
      <c r="AF33" s="13" t="str">
        <f t="shared" ca="1" si="25"/>
        <v/>
      </c>
      <c r="AG33" s="13" t="str">
        <f t="shared" ca="1" si="25"/>
        <v/>
      </c>
      <c r="AH33" s="13" t="str">
        <f t="shared" ca="1" si="25"/>
        <v/>
      </c>
      <c r="AI33" s="13" t="str">
        <f t="shared" ca="1" si="25"/>
        <v/>
      </c>
      <c r="AJ33" s="13" t="str">
        <f t="shared" ca="1" si="25"/>
        <v/>
      </c>
      <c r="AK33" s="13" t="str">
        <f t="shared" ca="1" si="25"/>
        <v/>
      </c>
      <c r="AL33" s="13" t="str">
        <f t="shared" ca="1" si="25"/>
        <v/>
      </c>
      <c r="AM33" s="13" t="str">
        <f t="shared" ca="1" si="25"/>
        <v/>
      </c>
      <c r="AN33" s="13" t="str">
        <f t="shared" ca="1" si="25"/>
        <v/>
      </c>
      <c r="AO33" s="13" t="str">
        <f t="shared" ca="1" si="26"/>
        <v/>
      </c>
      <c r="AP33" s="13" t="str">
        <f t="shared" ca="1" si="26"/>
        <v/>
      </c>
      <c r="AQ33" s="13" t="str">
        <f t="shared" ca="1" si="26"/>
        <v/>
      </c>
      <c r="AR33" s="13" t="str">
        <f t="shared" ca="1" si="26"/>
        <v/>
      </c>
      <c r="AS33" s="13" t="str">
        <f t="shared" ca="1" si="26"/>
        <v/>
      </c>
      <c r="AT33" s="13" t="str">
        <f t="shared" ca="1" si="26"/>
        <v/>
      </c>
      <c r="AU33" s="13" t="str">
        <f t="shared" ca="1" si="26"/>
        <v/>
      </c>
      <c r="AV33" s="13" t="str">
        <f t="shared" ca="1" si="26"/>
        <v/>
      </c>
      <c r="AW33" s="13" t="str">
        <f t="shared" ca="1" si="26"/>
        <v/>
      </c>
      <c r="AX33" s="13" t="str">
        <f t="shared" ca="1" si="26"/>
        <v/>
      </c>
      <c r="AY33" s="13" t="str">
        <f t="shared" ca="1" si="26"/>
        <v/>
      </c>
      <c r="AZ33" s="13" t="str">
        <f t="shared" ca="1" si="26"/>
        <v/>
      </c>
      <c r="BA33" s="13" t="str">
        <f t="shared" ca="1" si="26"/>
        <v/>
      </c>
      <c r="BB33" s="13" t="str">
        <f t="shared" ca="1" si="26"/>
        <v/>
      </c>
      <c r="BC33" s="13" t="str">
        <f t="shared" ca="1" si="26"/>
        <v/>
      </c>
      <c r="BD33" s="13" t="str">
        <f t="shared" ca="1" si="27"/>
        <v/>
      </c>
      <c r="BE33" s="13" t="str">
        <f t="shared" ca="1" si="27"/>
        <v/>
      </c>
      <c r="BF33" s="13">
        <f t="shared" ca="1" si="27"/>
        <v>1</v>
      </c>
      <c r="BG33" s="13" t="str">
        <f t="shared" ca="1" si="27"/>
        <v/>
      </c>
      <c r="BH33" s="13" t="str">
        <f t="shared" ca="1" si="27"/>
        <v/>
      </c>
      <c r="BI33" s="13" t="str">
        <f t="shared" ca="1" si="27"/>
        <v/>
      </c>
      <c r="BJ33" s="13" t="str">
        <f t="shared" ca="1" si="27"/>
        <v/>
      </c>
      <c r="BK33" s="13" t="str">
        <f t="shared" ca="1" si="27"/>
        <v/>
      </c>
      <c r="BL33" s="13" t="str">
        <f t="shared" ca="1" si="27"/>
        <v/>
      </c>
      <c r="BM33" s="13" t="str">
        <f t="shared" ca="1" si="27"/>
        <v/>
      </c>
      <c r="BN33" s="13" t="str">
        <f t="shared" ca="1" si="27"/>
        <v/>
      </c>
      <c r="BO33" s="13" t="str">
        <f t="shared" ca="1" si="27"/>
        <v/>
      </c>
      <c r="BP33" s="13" t="str">
        <f t="shared" ca="1" si="27"/>
        <v/>
      </c>
      <c r="BQ33" s="13" t="str">
        <f t="shared" ca="1" si="27"/>
        <v/>
      </c>
      <c r="BR33" s="13" t="str">
        <f t="shared" ca="1" si="27"/>
        <v/>
      </c>
      <c r="BS33" s="13" t="str">
        <f t="shared" ca="1" si="22"/>
        <v/>
      </c>
      <c r="BT33" s="13" t="str">
        <f t="shared" ca="1" si="22"/>
        <v/>
      </c>
      <c r="BU33" s="13" t="str">
        <f t="shared" ca="1" si="22"/>
        <v/>
      </c>
      <c r="BV33" s="13" t="str">
        <f t="shared" ca="1" si="22"/>
        <v/>
      </c>
      <c r="BW33" s="13" t="str">
        <f t="shared" ca="1" si="22"/>
        <v/>
      </c>
      <c r="BX33" s="13" t="str">
        <f t="shared" ca="1" si="22"/>
        <v/>
      </c>
      <c r="BY33" s="13" t="str">
        <f t="shared" ca="1" si="22"/>
        <v/>
      </c>
      <c r="BZ33" s="13" t="str">
        <f t="shared" ca="1" si="22"/>
        <v/>
      </c>
      <c r="CA33" s="13" t="str">
        <f t="shared" ca="1" si="22"/>
        <v/>
      </c>
      <c r="CB33" s="13" t="str">
        <f t="shared" ca="1" si="22"/>
        <v/>
      </c>
      <c r="CC33" s="13" t="str">
        <f t="shared" ca="1" si="22"/>
        <v/>
      </c>
      <c r="CD33" s="13" t="str">
        <f t="shared" ca="1" si="22"/>
        <v/>
      </c>
      <c r="CE33" s="13" t="str">
        <f t="shared" ca="1" si="22"/>
        <v/>
      </c>
      <c r="CF33" s="13" t="str">
        <f t="shared" ca="1" si="22"/>
        <v/>
      </c>
      <c r="CG33" s="13" t="str">
        <f t="shared" ca="1" si="22"/>
        <v/>
      </c>
      <c r="CH33" s="13" t="str">
        <f t="shared" ca="1" si="22"/>
        <v/>
      </c>
      <c r="CI33" s="13" t="str">
        <f t="shared" ca="1" si="22"/>
        <v/>
      </c>
      <c r="CJ33" s="13" t="str">
        <f t="shared" ca="1" si="22"/>
        <v/>
      </c>
      <c r="CK33" s="13" t="str">
        <f t="shared" ca="1" si="22"/>
        <v/>
      </c>
      <c r="CL33" s="13" t="str">
        <f t="shared" ca="1" si="22"/>
        <v/>
      </c>
      <c r="CM33" s="13" t="str">
        <f t="shared" ca="1" si="28"/>
        <v/>
      </c>
      <c r="CN33" s="13" t="str">
        <f t="shared" ca="1" si="28"/>
        <v/>
      </c>
      <c r="CO33" s="13" t="str">
        <f t="shared" ca="1" si="28"/>
        <v/>
      </c>
      <c r="CP33" s="13" t="str">
        <f t="shared" ca="1" si="28"/>
        <v/>
      </c>
      <c r="CQ33" s="13" t="str">
        <f t="shared" ca="1" si="28"/>
        <v/>
      </c>
      <c r="CR33" s="13" t="str">
        <f t="shared" ca="1" si="28"/>
        <v/>
      </c>
      <c r="CS33" s="13" t="str">
        <f t="shared" ca="1" si="28"/>
        <v/>
      </c>
      <c r="CT33" s="13" t="str">
        <f t="shared" ca="1" si="28"/>
        <v/>
      </c>
      <c r="CU33" s="13" t="str">
        <f t="shared" ca="1" si="28"/>
        <v/>
      </c>
      <c r="CV33" s="13" t="str">
        <f t="shared" ca="1" si="28"/>
        <v/>
      </c>
      <c r="CW33" s="13" t="str">
        <f t="shared" ca="1" si="28"/>
        <v/>
      </c>
      <c r="CX33" s="13" t="str">
        <f t="shared" ca="1" si="28"/>
        <v/>
      </c>
      <c r="CY33" s="13" t="str">
        <f t="shared" ca="1" si="28"/>
        <v/>
      </c>
      <c r="CZ33" s="13" t="str">
        <f t="shared" ca="1" si="28"/>
        <v/>
      </c>
      <c r="DA33" s="13" t="str">
        <f t="shared" ca="1" si="28"/>
        <v/>
      </c>
      <c r="DB33" s="13" t="str">
        <f t="shared" ca="1" si="28"/>
        <v/>
      </c>
      <c r="DC33" s="13" t="str">
        <f t="shared" ca="1" si="28"/>
        <v/>
      </c>
      <c r="DD33" s="13" t="str">
        <f t="shared" ca="1" si="28"/>
        <v/>
      </c>
      <c r="DE33" s="13" t="str">
        <f t="shared" ca="1" si="28"/>
        <v/>
      </c>
      <c r="DF33" s="13" t="str">
        <f t="shared" ca="1" si="28"/>
        <v/>
      </c>
      <c r="DG33" s="13" t="str">
        <f t="shared" ca="1" si="28"/>
        <v/>
      </c>
      <c r="DH33" s="13" t="str">
        <f t="shared" ca="1" si="28"/>
        <v/>
      </c>
      <c r="DI33" s="13" t="str">
        <f t="shared" ca="1" si="28"/>
        <v/>
      </c>
      <c r="DJ33" s="13" t="str">
        <f t="shared" ca="1" si="28"/>
        <v/>
      </c>
      <c r="DK33" s="13" t="str">
        <f t="shared" ca="1" si="28"/>
        <v/>
      </c>
      <c r="DL33" s="13" t="str">
        <f t="shared" ca="1" si="28"/>
        <v/>
      </c>
      <c r="DM33" s="13" t="str">
        <f t="shared" ca="1" si="28"/>
        <v/>
      </c>
      <c r="DN33" s="13" t="str">
        <f t="shared" ca="1" si="28"/>
        <v/>
      </c>
      <c r="DO33" s="13" t="str">
        <f t="shared" ca="1" si="28"/>
        <v/>
      </c>
      <c r="DP33" s="13" t="str">
        <f t="shared" ca="1" si="28"/>
        <v/>
      </c>
      <c r="DQ33" s="13" t="str">
        <f t="shared" ca="1" si="28"/>
        <v/>
      </c>
      <c r="DR33" s="13" t="str">
        <f t="shared" ca="1" si="28"/>
        <v/>
      </c>
      <c r="DS33" s="13" t="str">
        <f t="shared" ca="1" si="28"/>
        <v/>
      </c>
      <c r="DT33" s="13" t="str">
        <f t="shared" ca="1" si="28"/>
        <v/>
      </c>
      <c r="DU33" s="13" t="str">
        <f t="shared" ca="1" si="28"/>
        <v/>
      </c>
      <c r="DV33" s="13" t="str">
        <f t="shared" ca="1" si="28"/>
        <v/>
      </c>
      <c r="DW33" s="13" t="str">
        <f t="shared" ca="1" si="28"/>
        <v/>
      </c>
      <c r="DX33" s="13" t="str">
        <f t="shared" ca="1" si="28"/>
        <v/>
      </c>
      <c r="DY33" s="13" t="str">
        <f t="shared" ca="1" si="28"/>
        <v/>
      </c>
      <c r="DZ33" s="13" t="str">
        <f t="shared" ca="1" si="28"/>
        <v/>
      </c>
      <c r="EA33" s="13" t="str">
        <f t="shared" ca="1" si="28"/>
        <v/>
      </c>
      <c r="EB33" s="13" t="str">
        <f t="shared" ca="1" si="28"/>
        <v/>
      </c>
      <c r="EC33" s="13" t="str">
        <f t="shared" ca="1" si="28"/>
        <v/>
      </c>
      <c r="ED33" s="13" t="str">
        <f t="shared" ca="1" si="28"/>
        <v/>
      </c>
      <c r="EE33" s="13" t="str">
        <f t="shared" ca="1" si="28"/>
        <v/>
      </c>
      <c r="EF33" s="13" t="str">
        <f t="shared" ca="1" si="28"/>
        <v/>
      </c>
      <c r="EG33" s="13" t="str">
        <f t="shared" ca="1" si="28"/>
        <v/>
      </c>
      <c r="EH33" s="13" t="str">
        <f t="shared" ca="1" si="28"/>
        <v/>
      </c>
      <c r="EI33" s="13" t="str">
        <f t="shared" ca="1" si="28"/>
        <v/>
      </c>
      <c r="EJ33" s="13" t="str">
        <f t="shared" ca="1" si="28"/>
        <v/>
      </c>
    </row>
    <row r="34" spans="1:140" s="1" customFormat="1" ht="40.15" customHeight="1" x14ac:dyDescent="0.25">
      <c r="A34" s="4"/>
      <c r="B34" s="52" t="s">
        <v>20</v>
      </c>
      <c r="C34" s="47" t="s">
        <v>10</v>
      </c>
      <c r="D34" s="47"/>
      <c r="E34" s="48">
        <v>0</v>
      </c>
      <c r="F34" s="49">
        <f>F30+1</f>
        <v>44382</v>
      </c>
      <c r="G34" s="50">
        <v>7</v>
      </c>
      <c r="H34" s="51"/>
      <c r="I34" s="13" t="str">
        <f t="shared" ca="1" si="24"/>
        <v/>
      </c>
      <c r="J34" s="13" t="str">
        <f t="shared" ca="1" si="24"/>
        <v/>
      </c>
      <c r="K34" s="13" t="str">
        <f t="shared" ca="1" si="24"/>
        <v/>
      </c>
      <c r="L34" s="13" t="str">
        <f t="shared" ca="1" si="24"/>
        <v/>
      </c>
      <c r="M34" s="13" t="str">
        <f t="shared" ca="1" si="24"/>
        <v/>
      </c>
      <c r="N34" s="13" t="str">
        <f t="shared" ca="1" si="24"/>
        <v/>
      </c>
      <c r="O34" s="13" t="str">
        <f t="shared" ca="1" si="24"/>
        <v/>
      </c>
      <c r="P34" s="13" t="str">
        <f t="shared" ca="1" si="24"/>
        <v/>
      </c>
      <c r="Q34" s="13" t="str">
        <f t="shared" ca="1" si="24"/>
        <v/>
      </c>
      <c r="R34" s="13" t="str">
        <f t="shared" ca="1" si="24"/>
        <v/>
      </c>
      <c r="S34" s="13" t="str">
        <f t="shared" ca="1" si="24"/>
        <v/>
      </c>
      <c r="T34" s="13" t="str">
        <f t="shared" ca="1" si="24"/>
        <v/>
      </c>
      <c r="U34" s="13" t="str">
        <f t="shared" ca="1" si="24"/>
        <v/>
      </c>
      <c r="V34" s="13" t="str">
        <f t="shared" ca="1" si="24"/>
        <v/>
      </c>
      <c r="W34" s="13" t="str">
        <f t="shared" ca="1" si="24"/>
        <v/>
      </c>
      <c r="X34" s="13" t="str">
        <f t="shared" ca="1" si="24"/>
        <v/>
      </c>
      <c r="Y34" s="13" t="str">
        <f t="shared" ca="1" si="25"/>
        <v/>
      </c>
      <c r="Z34" s="13" t="str">
        <f t="shared" ca="1" si="25"/>
        <v/>
      </c>
      <c r="AA34" s="13" t="str">
        <f t="shared" ca="1" si="25"/>
        <v/>
      </c>
      <c r="AB34" s="13" t="str">
        <f t="shared" ca="1" si="25"/>
        <v/>
      </c>
      <c r="AC34" s="13" t="str">
        <f t="shared" ca="1" si="25"/>
        <v/>
      </c>
      <c r="AD34" s="13" t="str">
        <f t="shared" ca="1" si="25"/>
        <v/>
      </c>
      <c r="AE34" s="13" t="str">
        <f t="shared" ca="1" si="25"/>
        <v/>
      </c>
      <c r="AF34" s="13" t="str">
        <f t="shared" ca="1" si="25"/>
        <v/>
      </c>
      <c r="AG34" s="13" t="str">
        <f t="shared" ca="1" si="25"/>
        <v/>
      </c>
      <c r="AH34" s="13" t="str">
        <f t="shared" ca="1" si="25"/>
        <v/>
      </c>
      <c r="AI34" s="13" t="str">
        <f t="shared" ca="1" si="25"/>
        <v/>
      </c>
      <c r="AJ34" s="13" t="str">
        <f t="shared" ca="1" si="25"/>
        <v/>
      </c>
      <c r="AK34" s="13" t="str">
        <f t="shared" ca="1" si="25"/>
        <v/>
      </c>
      <c r="AL34" s="13" t="str">
        <f t="shared" ca="1" si="25"/>
        <v/>
      </c>
      <c r="AM34" s="13" t="str">
        <f t="shared" ca="1" si="25"/>
        <v/>
      </c>
      <c r="AN34" s="13" t="str">
        <f t="shared" ca="1" si="25"/>
        <v/>
      </c>
      <c r="AO34" s="13" t="str">
        <f t="shared" ca="1" si="26"/>
        <v/>
      </c>
      <c r="AP34" s="13" t="str">
        <f t="shared" ca="1" si="26"/>
        <v/>
      </c>
      <c r="AQ34" s="13" t="str">
        <f t="shared" ca="1" si="26"/>
        <v/>
      </c>
      <c r="AR34" s="13" t="str">
        <f t="shared" ca="1" si="26"/>
        <v/>
      </c>
      <c r="AS34" s="13" t="str">
        <f t="shared" ca="1" si="26"/>
        <v/>
      </c>
      <c r="AT34" s="13" t="str">
        <f t="shared" ca="1" si="26"/>
        <v/>
      </c>
      <c r="AU34" s="13" t="str">
        <f t="shared" ca="1" si="26"/>
        <v/>
      </c>
      <c r="AV34" s="13" t="str">
        <f t="shared" ca="1" si="26"/>
        <v/>
      </c>
      <c r="AW34" s="13" t="str">
        <f t="shared" ca="1" si="26"/>
        <v/>
      </c>
      <c r="AX34" s="13" t="str">
        <f t="shared" ca="1" si="26"/>
        <v/>
      </c>
      <c r="AY34" s="13" t="str">
        <f t="shared" ca="1" si="26"/>
        <v/>
      </c>
      <c r="AZ34" s="13" t="str">
        <f t="shared" ca="1" si="26"/>
        <v/>
      </c>
      <c r="BA34" s="13" t="str">
        <f t="shared" ca="1" si="26"/>
        <v/>
      </c>
      <c r="BB34" s="13" t="str">
        <f t="shared" ca="1" si="26"/>
        <v/>
      </c>
      <c r="BC34" s="13" t="str">
        <f t="shared" ca="1" si="26"/>
        <v/>
      </c>
      <c r="BD34" s="13" t="str">
        <f t="shared" ca="1" si="27"/>
        <v/>
      </c>
      <c r="BE34" s="13" t="str">
        <f t="shared" ca="1" si="27"/>
        <v/>
      </c>
      <c r="BF34" s="13" t="str">
        <f t="shared" ca="1" si="27"/>
        <v/>
      </c>
      <c r="BG34" s="13" t="str">
        <f t="shared" ca="1" si="27"/>
        <v/>
      </c>
      <c r="BH34" s="13" t="str">
        <f t="shared" ca="1" si="27"/>
        <v/>
      </c>
      <c r="BI34" s="13" t="str">
        <f t="shared" ca="1" si="27"/>
        <v/>
      </c>
      <c r="BJ34" s="13" t="str">
        <f t="shared" ca="1" si="27"/>
        <v/>
      </c>
      <c r="BK34" s="13" t="str">
        <f t="shared" ca="1" si="27"/>
        <v/>
      </c>
      <c r="BL34" s="13" t="str">
        <f t="shared" ca="1" si="27"/>
        <v/>
      </c>
      <c r="BM34" s="13" t="str">
        <f t="shared" ca="1" si="27"/>
        <v/>
      </c>
      <c r="BN34" s="13" t="str">
        <f t="shared" ca="1" si="27"/>
        <v/>
      </c>
      <c r="BO34" s="13" t="str">
        <f t="shared" ca="1" si="27"/>
        <v/>
      </c>
      <c r="BP34" s="13" t="str">
        <f t="shared" ca="1" si="27"/>
        <v/>
      </c>
      <c r="BQ34" s="13" t="str">
        <f t="shared" ca="1" si="27"/>
        <v/>
      </c>
      <c r="BR34" s="13" t="str">
        <f t="shared" ca="1" si="27"/>
        <v/>
      </c>
      <c r="BS34" s="13" t="str">
        <f t="shared" ca="1" si="22"/>
        <v/>
      </c>
      <c r="BT34" s="13" t="str">
        <f t="shared" ca="1" si="22"/>
        <v/>
      </c>
      <c r="BU34" s="13" t="str">
        <f t="shared" ca="1" si="22"/>
        <v/>
      </c>
      <c r="BV34" s="13" t="str">
        <f t="shared" ca="1" si="22"/>
        <v/>
      </c>
      <c r="BW34" s="13" t="str">
        <f t="shared" ca="1" si="22"/>
        <v/>
      </c>
      <c r="BX34" s="13" t="str">
        <f t="shared" ca="1" si="22"/>
        <v/>
      </c>
      <c r="BY34" s="13" t="str">
        <f t="shared" ca="1" si="22"/>
        <v/>
      </c>
      <c r="BZ34" s="13" t="str">
        <f t="shared" ca="1" si="22"/>
        <v/>
      </c>
      <c r="CA34" s="13" t="str">
        <f t="shared" ca="1" si="22"/>
        <v/>
      </c>
      <c r="CB34" s="13" t="str">
        <f t="shared" ca="1" si="22"/>
        <v/>
      </c>
      <c r="CC34" s="13" t="str">
        <f t="shared" ca="1" si="22"/>
        <v/>
      </c>
      <c r="CD34" s="13" t="str">
        <f t="shared" ca="1" si="22"/>
        <v/>
      </c>
      <c r="CE34" s="13" t="str">
        <f t="shared" ca="1" si="22"/>
        <v/>
      </c>
      <c r="CF34" s="13" t="str">
        <f t="shared" ca="1" si="22"/>
        <v/>
      </c>
      <c r="CG34" s="13" t="str">
        <f t="shared" ca="1" si="22"/>
        <v/>
      </c>
      <c r="CH34" s="13" t="str">
        <f t="shared" ca="1" si="22"/>
        <v/>
      </c>
      <c r="CI34" s="13" t="str">
        <f t="shared" ca="1" si="22"/>
        <v/>
      </c>
      <c r="CJ34" s="13" t="str">
        <f t="shared" ca="1" si="22"/>
        <v/>
      </c>
      <c r="CK34" s="13" t="str">
        <f t="shared" ca="1" si="22"/>
        <v/>
      </c>
      <c r="CL34" s="13" t="str">
        <f t="shared" ca="1" si="22"/>
        <v/>
      </c>
      <c r="CM34" s="13" t="str">
        <f t="shared" ca="1" si="28"/>
        <v/>
      </c>
      <c r="CN34" s="13" t="str">
        <f t="shared" ca="1" si="28"/>
        <v/>
      </c>
      <c r="CO34" s="13" t="str">
        <f t="shared" ca="1" si="28"/>
        <v/>
      </c>
      <c r="CP34" s="13" t="str">
        <f t="shared" ca="1" si="28"/>
        <v/>
      </c>
      <c r="CQ34" s="13" t="str">
        <f t="shared" ca="1" si="28"/>
        <v/>
      </c>
      <c r="CR34" s="13" t="str">
        <f t="shared" ca="1" si="28"/>
        <v/>
      </c>
      <c r="CS34" s="13" t="str">
        <f t="shared" ca="1" si="28"/>
        <v/>
      </c>
      <c r="CT34" s="13" t="str">
        <f t="shared" ca="1" si="28"/>
        <v/>
      </c>
      <c r="CU34" s="13" t="str">
        <f t="shared" ca="1" si="28"/>
        <v/>
      </c>
      <c r="CV34" s="13" t="str">
        <f t="shared" ca="1" si="28"/>
        <v/>
      </c>
      <c r="CW34" s="13" t="str">
        <f t="shared" ca="1" si="28"/>
        <v/>
      </c>
      <c r="CX34" s="13" t="str">
        <f t="shared" ca="1" si="28"/>
        <v/>
      </c>
      <c r="CY34" s="13" t="str">
        <f t="shared" ca="1" si="28"/>
        <v/>
      </c>
      <c r="CZ34" s="13" t="str">
        <f t="shared" ca="1" si="28"/>
        <v/>
      </c>
      <c r="DA34" s="13" t="str">
        <f t="shared" ca="1" si="28"/>
        <v/>
      </c>
      <c r="DB34" s="13" t="str">
        <f t="shared" ca="1" si="28"/>
        <v/>
      </c>
      <c r="DC34" s="13" t="str">
        <f t="shared" ca="1" si="28"/>
        <v/>
      </c>
      <c r="DD34" s="13" t="str">
        <f t="shared" ca="1" si="28"/>
        <v/>
      </c>
      <c r="DE34" s="13" t="str">
        <f t="shared" ca="1" si="28"/>
        <v/>
      </c>
      <c r="DF34" s="13" t="str">
        <f t="shared" ca="1" si="28"/>
        <v/>
      </c>
      <c r="DG34" s="13" t="str">
        <f t="shared" ca="1" si="28"/>
        <v/>
      </c>
      <c r="DH34" s="13" t="str">
        <f t="shared" ca="1" si="28"/>
        <v/>
      </c>
      <c r="DI34" s="13" t="str">
        <f t="shared" ca="1" si="28"/>
        <v/>
      </c>
      <c r="DJ34" s="13" t="str">
        <f t="shared" ca="1" si="28"/>
        <v/>
      </c>
      <c r="DK34" s="13" t="str">
        <f t="shared" ca="1" si="28"/>
        <v/>
      </c>
      <c r="DL34" s="13" t="str">
        <f t="shared" ca="1" si="28"/>
        <v/>
      </c>
      <c r="DM34" s="13" t="str">
        <f t="shared" ca="1" si="28"/>
        <v/>
      </c>
      <c r="DN34" s="13" t="str">
        <f t="shared" ca="1" si="28"/>
        <v/>
      </c>
      <c r="DO34" s="13" t="str">
        <f t="shared" ca="1" si="28"/>
        <v/>
      </c>
      <c r="DP34" s="13" t="str">
        <f t="shared" ca="1" si="28"/>
        <v/>
      </c>
      <c r="DQ34" s="13" t="str">
        <f t="shared" ca="1" si="28"/>
        <v/>
      </c>
      <c r="DR34" s="13" t="str">
        <f t="shared" ca="1" si="28"/>
        <v/>
      </c>
      <c r="DS34" s="13" t="str">
        <f t="shared" ca="1" si="28"/>
        <v/>
      </c>
      <c r="DT34" s="13" t="str">
        <f t="shared" ca="1" si="28"/>
        <v/>
      </c>
      <c r="DU34" s="13" t="str">
        <f t="shared" ca="1" si="28"/>
        <v/>
      </c>
      <c r="DV34" s="13" t="str">
        <f t="shared" ca="1" si="28"/>
        <v/>
      </c>
      <c r="DW34" s="13" t="str">
        <f t="shared" ca="1" si="28"/>
        <v/>
      </c>
      <c r="DX34" s="13" t="str">
        <f t="shared" ca="1" si="28"/>
        <v/>
      </c>
      <c r="DY34" s="13" t="str">
        <f t="shared" ca="1" si="28"/>
        <v/>
      </c>
      <c r="DZ34" s="13" t="str">
        <f t="shared" ca="1" si="28"/>
        <v/>
      </c>
      <c r="EA34" s="13" t="str">
        <f t="shared" ca="1" si="28"/>
        <v/>
      </c>
      <c r="EB34" s="13" t="str">
        <f t="shared" ca="1" si="28"/>
        <v/>
      </c>
      <c r="EC34" s="13" t="str">
        <f t="shared" ca="1" si="28"/>
        <v/>
      </c>
      <c r="ED34" s="13" t="str">
        <f t="shared" ca="1" si="28"/>
        <v/>
      </c>
      <c r="EE34" s="13" t="str">
        <f t="shared" ca="1" si="28"/>
        <v/>
      </c>
      <c r="EF34" s="13" t="str">
        <f t="shared" ca="1" si="28"/>
        <v/>
      </c>
      <c r="EG34" s="13" t="str">
        <f t="shared" ca="1" si="28"/>
        <v/>
      </c>
      <c r="EH34" s="13" t="str">
        <f t="shared" ca="1" si="28"/>
        <v/>
      </c>
      <c r="EI34" s="13" t="str">
        <f t="shared" ca="1" si="28"/>
        <v/>
      </c>
      <c r="EJ34" s="13" t="str">
        <f t="shared" ca="1" si="28"/>
        <v/>
      </c>
    </row>
    <row r="35" spans="1:140" s="1" customFormat="1" ht="40.15" customHeight="1" x14ac:dyDescent="0.25">
      <c r="A35" s="4"/>
      <c r="B35" s="46" t="s">
        <v>36</v>
      </c>
      <c r="C35" s="47"/>
      <c r="D35" s="47"/>
      <c r="E35" s="48"/>
      <c r="F35" s="49"/>
      <c r="G35" s="50"/>
      <c r="H35" s="51"/>
      <c r="I35" s="13" t="str">
        <f t="shared" ca="1" si="24"/>
        <v/>
      </c>
      <c r="J35" s="13" t="str">
        <f t="shared" ca="1" si="24"/>
        <v/>
      </c>
      <c r="K35" s="13" t="str">
        <f t="shared" ca="1" si="24"/>
        <v/>
      </c>
      <c r="L35" s="13" t="str">
        <f t="shared" ca="1" si="24"/>
        <v/>
      </c>
      <c r="M35" s="13" t="str">
        <f t="shared" ca="1" si="24"/>
        <v/>
      </c>
      <c r="N35" s="13" t="str">
        <f t="shared" ca="1" si="24"/>
        <v/>
      </c>
      <c r="O35" s="13" t="str">
        <f t="shared" ca="1" si="24"/>
        <v/>
      </c>
      <c r="P35" s="13" t="str">
        <f t="shared" ca="1" si="24"/>
        <v/>
      </c>
      <c r="Q35" s="13" t="str">
        <f t="shared" ca="1" si="24"/>
        <v/>
      </c>
      <c r="R35" s="13" t="str">
        <f t="shared" ca="1" si="24"/>
        <v/>
      </c>
      <c r="S35" s="13" t="str">
        <f t="shared" ca="1" si="24"/>
        <v/>
      </c>
      <c r="T35" s="13" t="str">
        <f t="shared" ca="1" si="24"/>
        <v/>
      </c>
      <c r="U35" s="13" t="str">
        <f t="shared" ca="1" si="24"/>
        <v/>
      </c>
      <c r="V35" s="13" t="str">
        <f t="shared" ca="1" si="24"/>
        <v/>
      </c>
      <c r="W35" s="13" t="str">
        <f t="shared" ca="1" si="24"/>
        <v/>
      </c>
      <c r="X35" s="13" t="str">
        <f t="shared" ca="1" si="24"/>
        <v/>
      </c>
      <c r="Y35" s="13" t="str">
        <f t="shared" ca="1" si="25"/>
        <v/>
      </c>
      <c r="Z35" s="13" t="str">
        <f t="shared" ca="1" si="25"/>
        <v/>
      </c>
      <c r="AA35" s="13" t="str">
        <f t="shared" ca="1" si="25"/>
        <v/>
      </c>
      <c r="AB35" s="13" t="str">
        <f t="shared" ca="1" si="25"/>
        <v/>
      </c>
      <c r="AC35" s="13" t="str">
        <f t="shared" ca="1" si="25"/>
        <v/>
      </c>
      <c r="AD35" s="13" t="str">
        <f t="shared" ca="1" si="25"/>
        <v/>
      </c>
      <c r="AE35" s="13" t="str">
        <f t="shared" ca="1" si="25"/>
        <v/>
      </c>
      <c r="AF35" s="13" t="str">
        <f t="shared" ca="1" si="25"/>
        <v/>
      </c>
      <c r="AG35" s="13" t="str">
        <f t="shared" ca="1" si="25"/>
        <v/>
      </c>
      <c r="AH35" s="13" t="str">
        <f t="shared" ca="1" si="25"/>
        <v/>
      </c>
      <c r="AI35" s="13" t="str">
        <f t="shared" ca="1" si="25"/>
        <v/>
      </c>
      <c r="AJ35" s="13" t="str">
        <f t="shared" ca="1" si="25"/>
        <v/>
      </c>
      <c r="AK35" s="13" t="str">
        <f t="shared" ca="1" si="25"/>
        <v/>
      </c>
      <c r="AL35" s="13" t="str">
        <f t="shared" ca="1" si="25"/>
        <v/>
      </c>
      <c r="AM35" s="13" t="str">
        <f t="shared" ca="1" si="25"/>
        <v/>
      </c>
      <c r="AN35" s="13" t="str">
        <f t="shared" ca="1" si="25"/>
        <v/>
      </c>
      <c r="AO35" s="13" t="str">
        <f t="shared" ca="1" si="26"/>
        <v/>
      </c>
      <c r="AP35" s="13" t="str">
        <f t="shared" ca="1" si="26"/>
        <v/>
      </c>
      <c r="AQ35" s="13" t="str">
        <f t="shared" ca="1" si="26"/>
        <v/>
      </c>
      <c r="AR35" s="13" t="str">
        <f t="shared" ca="1" si="26"/>
        <v/>
      </c>
      <c r="AS35" s="13" t="str">
        <f t="shared" ca="1" si="26"/>
        <v/>
      </c>
      <c r="AT35" s="13" t="str">
        <f t="shared" ca="1" si="26"/>
        <v/>
      </c>
      <c r="AU35" s="13" t="str">
        <f t="shared" ca="1" si="26"/>
        <v/>
      </c>
      <c r="AV35" s="13" t="str">
        <f t="shared" ca="1" si="26"/>
        <v/>
      </c>
      <c r="AW35" s="13" t="str">
        <f t="shared" ca="1" si="26"/>
        <v/>
      </c>
      <c r="AX35" s="13" t="str">
        <f t="shared" ca="1" si="26"/>
        <v/>
      </c>
      <c r="AY35" s="13" t="str">
        <f t="shared" ca="1" si="26"/>
        <v/>
      </c>
      <c r="AZ35" s="13" t="str">
        <f t="shared" ca="1" si="26"/>
        <v/>
      </c>
      <c r="BA35" s="13" t="str">
        <f t="shared" ca="1" si="26"/>
        <v/>
      </c>
      <c r="BB35" s="13" t="str">
        <f t="shared" ca="1" si="26"/>
        <v/>
      </c>
      <c r="BC35" s="13" t="str">
        <f t="shared" ca="1" si="26"/>
        <v/>
      </c>
      <c r="BD35" s="13" t="str">
        <f t="shared" ca="1" si="27"/>
        <v/>
      </c>
      <c r="BE35" s="13" t="str">
        <f t="shared" ca="1" si="27"/>
        <v/>
      </c>
      <c r="BF35" s="13" t="str">
        <f t="shared" ca="1" si="27"/>
        <v/>
      </c>
      <c r="BG35" s="13" t="str">
        <f t="shared" ca="1" si="27"/>
        <v/>
      </c>
      <c r="BH35" s="13" t="str">
        <f t="shared" ca="1" si="27"/>
        <v/>
      </c>
      <c r="BI35" s="13" t="str">
        <f t="shared" ca="1" si="27"/>
        <v/>
      </c>
      <c r="BJ35" s="13" t="str">
        <f t="shared" ca="1" si="27"/>
        <v/>
      </c>
      <c r="BK35" s="13" t="str">
        <f t="shared" ca="1" si="27"/>
        <v/>
      </c>
      <c r="BL35" s="13" t="str">
        <f t="shared" ca="1" si="27"/>
        <v/>
      </c>
      <c r="BM35" s="13" t="str">
        <f t="shared" ca="1" si="27"/>
        <v/>
      </c>
      <c r="BN35" s="13" t="str">
        <f t="shared" ca="1" si="27"/>
        <v/>
      </c>
      <c r="BO35" s="13" t="str">
        <f t="shared" ca="1" si="27"/>
        <v/>
      </c>
      <c r="BP35" s="13" t="str">
        <f t="shared" ca="1" si="27"/>
        <v/>
      </c>
      <c r="BQ35" s="13" t="str">
        <f t="shared" ca="1" si="27"/>
        <v/>
      </c>
      <c r="BR35" s="13" t="str">
        <f t="shared" ca="1" si="27"/>
        <v/>
      </c>
      <c r="BS35" s="13" t="str">
        <f t="shared" ca="1" si="22"/>
        <v/>
      </c>
      <c r="BT35" s="13" t="str">
        <f t="shared" ca="1" si="22"/>
        <v/>
      </c>
      <c r="BU35" s="13" t="str">
        <f t="shared" ca="1" si="22"/>
        <v/>
      </c>
      <c r="BV35" s="13" t="str">
        <f t="shared" ca="1" si="22"/>
        <v/>
      </c>
      <c r="BW35" s="13" t="str">
        <f t="shared" ca="1" si="22"/>
        <v/>
      </c>
      <c r="BX35" s="13" t="str">
        <f t="shared" ca="1" si="22"/>
        <v/>
      </c>
      <c r="BY35" s="13" t="str">
        <f t="shared" ca="1" si="22"/>
        <v/>
      </c>
      <c r="BZ35" s="13" t="str">
        <f t="shared" ca="1" si="22"/>
        <v/>
      </c>
      <c r="CA35" s="13" t="str">
        <f t="shared" ca="1" si="22"/>
        <v/>
      </c>
      <c r="CB35" s="13" t="str">
        <f t="shared" ca="1" si="22"/>
        <v/>
      </c>
      <c r="CC35" s="13" t="str">
        <f t="shared" ca="1" si="22"/>
        <v/>
      </c>
      <c r="CD35" s="13" t="str">
        <f t="shared" ca="1" si="22"/>
        <v/>
      </c>
      <c r="CE35" s="13" t="str">
        <f t="shared" ca="1" si="22"/>
        <v/>
      </c>
      <c r="CF35" s="13" t="str">
        <f t="shared" ca="1" si="22"/>
        <v/>
      </c>
      <c r="CG35" s="13" t="str">
        <f t="shared" ca="1" si="22"/>
        <v/>
      </c>
      <c r="CH35" s="13" t="str">
        <f t="shared" ca="1" si="22"/>
        <v/>
      </c>
      <c r="CI35" s="13" t="str">
        <f t="shared" ca="1" si="22"/>
        <v/>
      </c>
      <c r="CJ35" s="13" t="str">
        <f t="shared" ca="1" si="22"/>
        <v/>
      </c>
      <c r="CK35" s="13" t="str">
        <f t="shared" ca="1" si="22"/>
        <v/>
      </c>
      <c r="CL35" s="13" t="str">
        <f t="shared" ca="1" si="22"/>
        <v/>
      </c>
      <c r="CM35" s="13" t="str">
        <f t="shared" ca="1" si="28"/>
        <v/>
      </c>
      <c r="CN35" s="13" t="str">
        <f t="shared" ca="1" si="28"/>
        <v/>
      </c>
      <c r="CO35" s="13" t="str">
        <f t="shared" ca="1" si="28"/>
        <v/>
      </c>
      <c r="CP35" s="13" t="str">
        <f t="shared" ca="1" si="28"/>
        <v/>
      </c>
      <c r="CQ35" s="13" t="str">
        <f t="shared" ca="1" si="28"/>
        <v/>
      </c>
      <c r="CR35" s="13" t="str">
        <f t="shared" ca="1" si="28"/>
        <v/>
      </c>
      <c r="CS35" s="13" t="str">
        <f t="shared" ca="1" si="28"/>
        <v/>
      </c>
      <c r="CT35" s="13" t="str">
        <f t="shared" ca="1" si="28"/>
        <v/>
      </c>
      <c r="CU35" s="13" t="str">
        <f t="shared" ca="1" si="28"/>
        <v/>
      </c>
      <c r="CV35" s="13" t="str">
        <f t="shared" ca="1" si="28"/>
        <v/>
      </c>
      <c r="CW35" s="13" t="str">
        <f t="shared" ca="1" si="28"/>
        <v/>
      </c>
      <c r="CX35" s="13" t="str">
        <f t="shared" ca="1" si="28"/>
        <v/>
      </c>
      <c r="CY35" s="13" t="str">
        <f t="shared" ca="1" si="28"/>
        <v/>
      </c>
      <c r="CZ35" s="13" t="str">
        <f t="shared" ca="1" si="28"/>
        <v/>
      </c>
      <c r="DA35" s="13" t="str">
        <f t="shared" ca="1" si="28"/>
        <v/>
      </c>
      <c r="DB35" s="13" t="str">
        <f t="shared" ca="1" si="28"/>
        <v/>
      </c>
      <c r="DC35" s="13" t="str">
        <f t="shared" ca="1" si="28"/>
        <v/>
      </c>
      <c r="DD35" s="13" t="str">
        <f t="shared" ca="1" si="28"/>
        <v/>
      </c>
      <c r="DE35" s="13" t="str">
        <f t="shared" ca="1" si="28"/>
        <v/>
      </c>
      <c r="DF35" s="13" t="str">
        <f t="shared" ca="1" si="28"/>
        <v/>
      </c>
      <c r="DG35" s="13" t="str">
        <f t="shared" ca="1" si="28"/>
        <v/>
      </c>
      <c r="DH35" s="13" t="str">
        <f t="shared" ca="1" si="28"/>
        <v/>
      </c>
      <c r="DI35" s="13" t="str">
        <f t="shared" ca="1" si="28"/>
        <v/>
      </c>
      <c r="DJ35" s="13" t="str">
        <f t="shared" ca="1" si="28"/>
        <v/>
      </c>
      <c r="DK35" s="13" t="str">
        <f t="shared" ca="1" si="28"/>
        <v/>
      </c>
      <c r="DL35" s="13" t="str">
        <f t="shared" ca="1" si="28"/>
        <v/>
      </c>
      <c r="DM35" s="13" t="str">
        <f t="shared" ca="1" si="28"/>
        <v/>
      </c>
      <c r="DN35" s="13" t="str">
        <f t="shared" ca="1" si="28"/>
        <v/>
      </c>
      <c r="DO35" s="13" t="str">
        <f t="shared" ca="1" si="28"/>
        <v/>
      </c>
      <c r="DP35" s="13" t="str">
        <f t="shared" ca="1" si="28"/>
        <v/>
      </c>
      <c r="DQ35" s="13" t="str">
        <f t="shared" ca="1" si="28"/>
        <v/>
      </c>
      <c r="DR35" s="13" t="str">
        <f t="shared" ca="1" si="28"/>
        <v/>
      </c>
      <c r="DS35" s="13" t="str">
        <f t="shared" ca="1" si="28"/>
        <v/>
      </c>
      <c r="DT35" s="13" t="str">
        <f t="shared" ca="1" si="28"/>
        <v/>
      </c>
      <c r="DU35" s="13" t="str">
        <f t="shared" ca="1" si="28"/>
        <v/>
      </c>
      <c r="DV35" s="13" t="str">
        <f t="shared" ca="1" si="28"/>
        <v/>
      </c>
      <c r="DW35" s="13" t="str">
        <f t="shared" ca="1" si="28"/>
        <v/>
      </c>
      <c r="DX35" s="13" t="str">
        <f t="shared" ca="1" si="28"/>
        <v/>
      </c>
      <c r="DY35" s="13" t="str">
        <f t="shared" ca="1" si="28"/>
        <v/>
      </c>
      <c r="DZ35" s="13" t="str">
        <f t="shared" ca="1" si="28"/>
        <v/>
      </c>
      <c r="EA35" s="13" t="str">
        <f t="shared" ca="1" si="28"/>
        <v/>
      </c>
      <c r="EB35" s="13" t="str">
        <f t="shared" ca="1" si="28"/>
        <v/>
      </c>
      <c r="EC35" s="13" t="str">
        <f t="shared" ca="1" si="28"/>
        <v/>
      </c>
      <c r="ED35" s="13" t="str">
        <f t="shared" ca="1" si="28"/>
        <v/>
      </c>
      <c r="EE35" s="13" t="str">
        <f t="shared" ca="1" si="28"/>
        <v/>
      </c>
      <c r="EF35" s="13" t="str">
        <f t="shared" ca="1" si="28"/>
        <v/>
      </c>
      <c r="EG35" s="13" t="str">
        <f t="shared" ca="1" si="28"/>
        <v/>
      </c>
      <c r="EH35" s="13" t="str">
        <f t="shared" ca="1" si="28"/>
        <v/>
      </c>
      <c r="EI35" s="13" t="str">
        <f t="shared" ca="1" si="28"/>
        <v/>
      </c>
      <c r="EJ35" s="13" t="str">
        <f t="shared" ca="1" si="28"/>
        <v/>
      </c>
    </row>
    <row r="36" spans="1:140" s="1" customFormat="1" ht="40.15" customHeight="1" x14ac:dyDescent="0.25">
      <c r="A36" s="4"/>
      <c r="B36" s="52" t="s">
        <v>19</v>
      </c>
      <c r="C36" s="47" t="s">
        <v>6</v>
      </c>
      <c r="D36" s="71" t="s">
        <v>40</v>
      </c>
      <c r="E36" s="48"/>
      <c r="F36" s="49">
        <f>F33+5</f>
        <v>44393</v>
      </c>
      <c r="G36" s="50">
        <v>1</v>
      </c>
      <c r="H36" s="51"/>
      <c r="I36" s="13" t="str">
        <f t="shared" ca="1" si="24"/>
        <v/>
      </c>
      <c r="J36" s="13" t="str">
        <f t="shared" ca="1" si="24"/>
        <v/>
      </c>
      <c r="K36" s="13" t="str">
        <f t="shared" ca="1" si="24"/>
        <v/>
      </c>
      <c r="L36" s="13" t="str">
        <f t="shared" ca="1" si="24"/>
        <v/>
      </c>
      <c r="M36" s="13" t="str">
        <f t="shared" ca="1" si="24"/>
        <v/>
      </c>
      <c r="N36" s="13" t="str">
        <f t="shared" ca="1" si="24"/>
        <v/>
      </c>
      <c r="O36" s="13" t="str">
        <f t="shared" ca="1" si="24"/>
        <v/>
      </c>
      <c r="P36" s="13" t="str">
        <f t="shared" ca="1" si="24"/>
        <v/>
      </c>
      <c r="Q36" s="13" t="str">
        <f t="shared" ca="1" si="24"/>
        <v/>
      </c>
      <c r="R36" s="13" t="str">
        <f t="shared" ca="1" si="24"/>
        <v/>
      </c>
      <c r="S36" s="13" t="str">
        <f t="shared" ca="1" si="24"/>
        <v/>
      </c>
      <c r="T36" s="13" t="str">
        <f t="shared" ca="1" si="24"/>
        <v/>
      </c>
      <c r="U36" s="13" t="str">
        <f t="shared" ca="1" si="24"/>
        <v/>
      </c>
      <c r="V36" s="13" t="str">
        <f t="shared" ca="1" si="24"/>
        <v/>
      </c>
      <c r="W36" s="13" t="str">
        <f t="shared" ca="1" si="24"/>
        <v/>
      </c>
      <c r="X36" s="13" t="str">
        <f t="shared" ca="1" si="24"/>
        <v/>
      </c>
      <c r="Y36" s="13" t="str">
        <f t="shared" ca="1" si="25"/>
        <v/>
      </c>
      <c r="Z36" s="13" t="str">
        <f t="shared" ca="1" si="25"/>
        <v/>
      </c>
      <c r="AA36" s="13" t="str">
        <f t="shared" ca="1" si="25"/>
        <v/>
      </c>
      <c r="AB36" s="13" t="str">
        <f t="shared" ca="1" si="25"/>
        <v/>
      </c>
      <c r="AC36" s="13" t="str">
        <f t="shared" ca="1" si="25"/>
        <v/>
      </c>
      <c r="AD36" s="13" t="str">
        <f t="shared" ca="1" si="25"/>
        <v/>
      </c>
      <c r="AE36" s="13" t="str">
        <f t="shared" ca="1" si="25"/>
        <v/>
      </c>
      <c r="AF36" s="13" t="str">
        <f t="shared" ca="1" si="25"/>
        <v/>
      </c>
      <c r="AG36" s="13" t="str">
        <f t="shared" ca="1" si="25"/>
        <v/>
      </c>
      <c r="AH36" s="13" t="str">
        <f t="shared" ca="1" si="25"/>
        <v/>
      </c>
      <c r="AI36" s="13" t="str">
        <f t="shared" ca="1" si="25"/>
        <v/>
      </c>
      <c r="AJ36" s="13" t="str">
        <f t="shared" ca="1" si="25"/>
        <v/>
      </c>
      <c r="AK36" s="13" t="str">
        <f t="shared" ca="1" si="25"/>
        <v/>
      </c>
      <c r="AL36" s="13" t="str">
        <f t="shared" ca="1" si="25"/>
        <v/>
      </c>
      <c r="AM36" s="13" t="str">
        <f t="shared" ca="1" si="25"/>
        <v/>
      </c>
      <c r="AN36" s="13" t="str">
        <f t="shared" ca="1" si="25"/>
        <v/>
      </c>
      <c r="AO36" s="13" t="str">
        <f t="shared" ca="1" si="26"/>
        <v/>
      </c>
      <c r="AP36" s="13" t="str">
        <f t="shared" ca="1" si="26"/>
        <v/>
      </c>
      <c r="AQ36" s="13" t="str">
        <f t="shared" ca="1" si="26"/>
        <v/>
      </c>
      <c r="AR36" s="13" t="str">
        <f t="shared" ca="1" si="26"/>
        <v/>
      </c>
      <c r="AS36" s="13" t="str">
        <f t="shared" ca="1" si="26"/>
        <v/>
      </c>
      <c r="AT36" s="13" t="str">
        <f t="shared" ca="1" si="26"/>
        <v/>
      </c>
      <c r="AU36" s="13" t="str">
        <f t="shared" ca="1" si="26"/>
        <v/>
      </c>
      <c r="AV36" s="13" t="str">
        <f t="shared" ca="1" si="26"/>
        <v/>
      </c>
      <c r="AW36" s="13" t="str">
        <f t="shared" ca="1" si="26"/>
        <v/>
      </c>
      <c r="AX36" s="13" t="str">
        <f t="shared" ca="1" si="26"/>
        <v/>
      </c>
      <c r="AY36" s="13" t="str">
        <f t="shared" ca="1" si="26"/>
        <v/>
      </c>
      <c r="AZ36" s="13" t="str">
        <f t="shared" ca="1" si="26"/>
        <v/>
      </c>
      <c r="BA36" s="13" t="str">
        <f t="shared" ca="1" si="26"/>
        <v/>
      </c>
      <c r="BB36" s="13" t="str">
        <f t="shared" ca="1" si="26"/>
        <v/>
      </c>
      <c r="BC36" s="13" t="str">
        <f t="shared" ca="1" si="26"/>
        <v/>
      </c>
      <c r="BD36" s="13" t="str">
        <f t="shared" ca="1" si="27"/>
        <v/>
      </c>
      <c r="BE36" s="13" t="str">
        <f t="shared" ca="1" si="27"/>
        <v/>
      </c>
      <c r="BF36" s="13" t="str">
        <f t="shared" ca="1" si="27"/>
        <v/>
      </c>
      <c r="BG36" s="13" t="str">
        <f t="shared" ca="1" si="27"/>
        <v/>
      </c>
      <c r="BH36" s="13" t="str">
        <f t="shared" ca="1" si="27"/>
        <v/>
      </c>
      <c r="BI36" s="13" t="str">
        <f t="shared" ca="1" si="27"/>
        <v/>
      </c>
      <c r="BJ36" s="13" t="str">
        <f t="shared" ca="1" si="27"/>
        <v/>
      </c>
      <c r="BK36" s="13">
        <f t="shared" ca="1" si="27"/>
        <v>1</v>
      </c>
      <c r="BL36" s="13" t="str">
        <f t="shared" ca="1" si="27"/>
        <v/>
      </c>
      <c r="BM36" s="13" t="str">
        <f t="shared" ca="1" si="27"/>
        <v/>
      </c>
      <c r="BN36" s="13" t="str">
        <f t="shared" ca="1" si="27"/>
        <v/>
      </c>
      <c r="BO36" s="13" t="str">
        <f t="shared" ca="1" si="27"/>
        <v/>
      </c>
      <c r="BP36" s="13" t="str">
        <f t="shared" ca="1" si="27"/>
        <v/>
      </c>
      <c r="BQ36" s="13" t="str">
        <f t="shared" ca="1" si="27"/>
        <v/>
      </c>
      <c r="BR36" s="13" t="str">
        <f t="shared" ca="1" si="27"/>
        <v/>
      </c>
      <c r="BS36" s="13" t="str">
        <f t="shared" ca="1" si="22"/>
        <v/>
      </c>
      <c r="BT36" s="13" t="str">
        <f t="shared" ca="1" si="22"/>
        <v/>
      </c>
      <c r="BU36" s="13" t="str">
        <f t="shared" ca="1" si="22"/>
        <v/>
      </c>
      <c r="BV36" s="13" t="str">
        <f t="shared" ca="1" si="22"/>
        <v/>
      </c>
      <c r="BW36" s="13" t="str">
        <f t="shared" ca="1" si="22"/>
        <v/>
      </c>
      <c r="BX36" s="13" t="str">
        <f t="shared" ca="1" si="22"/>
        <v/>
      </c>
      <c r="BY36" s="13" t="str">
        <f t="shared" ca="1" si="22"/>
        <v/>
      </c>
      <c r="BZ36" s="13" t="str">
        <f t="shared" ca="1" si="22"/>
        <v/>
      </c>
      <c r="CA36" s="13" t="str">
        <f t="shared" ca="1" si="22"/>
        <v/>
      </c>
      <c r="CB36" s="13" t="str">
        <f t="shared" ca="1" si="22"/>
        <v/>
      </c>
      <c r="CC36" s="13" t="str">
        <f t="shared" ca="1" si="22"/>
        <v/>
      </c>
      <c r="CD36" s="13" t="str">
        <f t="shared" ca="1" si="22"/>
        <v/>
      </c>
      <c r="CE36" s="13" t="str">
        <f t="shared" ref="BS36:CL49" ca="1" si="29">IF(AND($C36="目標",CE$7&gt;=$F36,CE$7&lt;=$F36+$G36-1),2,IF(AND($C36="マイルストーン",CE$7&gt;=$F36,CE$7&lt;=$F36+$G36-1),1,""))</f>
        <v/>
      </c>
      <c r="CF36" s="13" t="str">
        <f t="shared" ca="1" si="29"/>
        <v/>
      </c>
      <c r="CG36" s="13" t="str">
        <f t="shared" ca="1" si="29"/>
        <v/>
      </c>
      <c r="CH36" s="13" t="str">
        <f t="shared" ca="1" si="29"/>
        <v/>
      </c>
      <c r="CI36" s="13" t="str">
        <f t="shared" ca="1" si="29"/>
        <v/>
      </c>
      <c r="CJ36" s="13" t="str">
        <f t="shared" ca="1" si="29"/>
        <v/>
      </c>
      <c r="CK36" s="13" t="str">
        <f t="shared" ca="1" si="29"/>
        <v/>
      </c>
      <c r="CL36" s="13" t="str">
        <f t="shared" ca="1" si="29"/>
        <v/>
      </c>
      <c r="CM36" s="13" t="str">
        <f t="shared" ca="1" si="28"/>
        <v/>
      </c>
      <c r="CN36" s="13" t="str">
        <f t="shared" ca="1" si="28"/>
        <v/>
      </c>
      <c r="CO36" s="13" t="str">
        <f t="shared" ca="1" si="28"/>
        <v/>
      </c>
      <c r="CP36" s="13" t="str">
        <f t="shared" ca="1" si="28"/>
        <v/>
      </c>
      <c r="CQ36" s="13" t="str">
        <f t="shared" ca="1" si="28"/>
        <v/>
      </c>
      <c r="CR36" s="13" t="str">
        <f t="shared" ca="1" si="28"/>
        <v/>
      </c>
      <c r="CS36" s="13" t="str">
        <f t="shared" ca="1" si="28"/>
        <v/>
      </c>
      <c r="CT36" s="13" t="str">
        <f t="shared" ca="1" si="28"/>
        <v/>
      </c>
      <c r="CU36" s="13" t="str">
        <f t="shared" ca="1" si="28"/>
        <v/>
      </c>
      <c r="CV36" s="13" t="str">
        <f t="shared" ca="1" si="28"/>
        <v/>
      </c>
      <c r="CW36" s="13" t="str">
        <f t="shared" ca="1" si="28"/>
        <v/>
      </c>
      <c r="CX36" s="13" t="str">
        <f t="shared" ca="1" si="28"/>
        <v/>
      </c>
      <c r="CY36" s="13" t="str">
        <f t="shared" ca="1" si="28"/>
        <v/>
      </c>
      <c r="CZ36" s="13" t="str">
        <f t="shared" ca="1" si="28"/>
        <v/>
      </c>
      <c r="DA36" s="13" t="str">
        <f t="shared" ca="1" si="28"/>
        <v/>
      </c>
      <c r="DB36" s="13" t="str">
        <f t="shared" ca="1" si="28"/>
        <v/>
      </c>
      <c r="DC36" s="13" t="str">
        <f t="shared" ca="1" si="28"/>
        <v/>
      </c>
      <c r="DD36" s="13" t="str">
        <f t="shared" ca="1" si="28"/>
        <v/>
      </c>
      <c r="DE36" s="13" t="str">
        <f t="shared" ca="1" si="28"/>
        <v/>
      </c>
      <c r="DF36" s="13" t="str">
        <f t="shared" ca="1" si="28"/>
        <v/>
      </c>
      <c r="DG36" s="13" t="str">
        <f t="shared" ca="1" si="28"/>
        <v/>
      </c>
      <c r="DH36" s="13" t="str">
        <f t="shared" ca="1" si="28"/>
        <v/>
      </c>
      <c r="DI36" s="13" t="str">
        <f t="shared" ca="1" si="28"/>
        <v/>
      </c>
      <c r="DJ36" s="13" t="str">
        <f t="shared" ca="1" si="28"/>
        <v/>
      </c>
      <c r="DK36" s="13" t="str">
        <f t="shared" ca="1" si="28"/>
        <v/>
      </c>
      <c r="DL36" s="13" t="str">
        <f t="shared" ref="CM36:EJ41" ca="1" si="30">IF(AND($C36="目標",DL$7&gt;=$F36,DL$7&lt;=$F36+$G36-1),2,IF(AND($C36="マイルストーン",DL$7&gt;=$F36,DL$7&lt;=$F36+$G36-1),1,""))</f>
        <v/>
      </c>
      <c r="DM36" s="13" t="str">
        <f t="shared" ca="1" si="30"/>
        <v/>
      </c>
      <c r="DN36" s="13" t="str">
        <f t="shared" ca="1" si="30"/>
        <v/>
      </c>
      <c r="DO36" s="13" t="str">
        <f t="shared" ca="1" si="30"/>
        <v/>
      </c>
      <c r="DP36" s="13" t="str">
        <f t="shared" ca="1" si="30"/>
        <v/>
      </c>
      <c r="DQ36" s="13" t="str">
        <f t="shared" ca="1" si="30"/>
        <v/>
      </c>
      <c r="DR36" s="13" t="str">
        <f t="shared" ca="1" si="30"/>
        <v/>
      </c>
      <c r="DS36" s="13" t="str">
        <f t="shared" ca="1" si="30"/>
        <v/>
      </c>
      <c r="DT36" s="13" t="str">
        <f t="shared" ca="1" si="30"/>
        <v/>
      </c>
      <c r="DU36" s="13" t="str">
        <f t="shared" ca="1" si="30"/>
        <v/>
      </c>
      <c r="DV36" s="13" t="str">
        <f t="shared" ca="1" si="30"/>
        <v/>
      </c>
      <c r="DW36" s="13" t="str">
        <f t="shared" ca="1" si="30"/>
        <v/>
      </c>
      <c r="DX36" s="13" t="str">
        <f t="shared" ca="1" si="30"/>
        <v/>
      </c>
      <c r="DY36" s="13" t="str">
        <f t="shared" ca="1" si="30"/>
        <v/>
      </c>
      <c r="DZ36" s="13" t="str">
        <f t="shared" ca="1" si="30"/>
        <v/>
      </c>
      <c r="EA36" s="13" t="str">
        <f t="shared" ca="1" si="30"/>
        <v/>
      </c>
      <c r="EB36" s="13" t="str">
        <f t="shared" ca="1" si="30"/>
        <v/>
      </c>
      <c r="EC36" s="13" t="str">
        <f t="shared" ca="1" si="30"/>
        <v/>
      </c>
      <c r="ED36" s="13" t="str">
        <f t="shared" ca="1" si="30"/>
        <v/>
      </c>
      <c r="EE36" s="13" t="str">
        <f t="shared" ca="1" si="30"/>
        <v/>
      </c>
      <c r="EF36" s="13" t="str">
        <f t="shared" ca="1" si="30"/>
        <v/>
      </c>
      <c r="EG36" s="13" t="str">
        <f t="shared" ca="1" si="30"/>
        <v/>
      </c>
      <c r="EH36" s="13" t="str">
        <f t="shared" ca="1" si="30"/>
        <v/>
      </c>
      <c r="EI36" s="13" t="str">
        <f t="shared" ca="1" si="30"/>
        <v/>
      </c>
      <c r="EJ36" s="13" t="str">
        <f t="shared" ca="1" si="30"/>
        <v/>
      </c>
    </row>
    <row r="37" spans="1:140" s="1" customFormat="1" ht="40.15" customHeight="1" x14ac:dyDescent="0.25">
      <c r="A37" s="4"/>
      <c r="B37" s="52" t="s">
        <v>20</v>
      </c>
      <c r="C37" s="47" t="s">
        <v>10</v>
      </c>
      <c r="D37" s="47"/>
      <c r="E37" s="48">
        <v>0</v>
      </c>
      <c r="F37" s="49">
        <f>F33+1</f>
        <v>44389</v>
      </c>
      <c r="G37" s="50">
        <v>5</v>
      </c>
      <c r="H37" s="51"/>
      <c r="I37" s="13" t="str">
        <f t="shared" ca="1" si="24"/>
        <v/>
      </c>
      <c r="J37" s="13" t="str">
        <f t="shared" ca="1" si="24"/>
        <v/>
      </c>
      <c r="K37" s="13" t="str">
        <f t="shared" ca="1" si="24"/>
        <v/>
      </c>
      <c r="L37" s="13" t="str">
        <f t="shared" ca="1" si="24"/>
        <v/>
      </c>
      <c r="M37" s="13" t="str">
        <f t="shared" ca="1" si="24"/>
        <v/>
      </c>
      <c r="N37" s="13" t="str">
        <f t="shared" ca="1" si="24"/>
        <v/>
      </c>
      <c r="O37" s="13" t="str">
        <f t="shared" ca="1" si="24"/>
        <v/>
      </c>
      <c r="P37" s="13" t="str">
        <f t="shared" ca="1" si="24"/>
        <v/>
      </c>
      <c r="Q37" s="13" t="str">
        <f t="shared" ca="1" si="24"/>
        <v/>
      </c>
      <c r="R37" s="13" t="str">
        <f t="shared" ca="1" si="24"/>
        <v/>
      </c>
      <c r="S37" s="13" t="str">
        <f t="shared" ca="1" si="24"/>
        <v/>
      </c>
      <c r="T37" s="13" t="str">
        <f t="shared" ca="1" si="24"/>
        <v/>
      </c>
      <c r="U37" s="13" t="str">
        <f t="shared" ca="1" si="24"/>
        <v/>
      </c>
      <c r="V37" s="13" t="str">
        <f t="shared" ca="1" si="24"/>
        <v/>
      </c>
      <c r="W37" s="13" t="str">
        <f t="shared" ca="1" si="24"/>
        <v/>
      </c>
      <c r="X37" s="13" t="str">
        <f t="shared" ca="1" si="24"/>
        <v/>
      </c>
      <c r="Y37" s="13" t="str">
        <f t="shared" ca="1" si="25"/>
        <v/>
      </c>
      <c r="Z37" s="13" t="str">
        <f t="shared" ca="1" si="25"/>
        <v/>
      </c>
      <c r="AA37" s="13" t="str">
        <f t="shared" ca="1" si="25"/>
        <v/>
      </c>
      <c r="AB37" s="13" t="str">
        <f t="shared" ca="1" si="25"/>
        <v/>
      </c>
      <c r="AC37" s="13" t="str">
        <f t="shared" ca="1" si="25"/>
        <v/>
      </c>
      <c r="AD37" s="13" t="str">
        <f t="shared" ca="1" si="25"/>
        <v/>
      </c>
      <c r="AE37" s="13" t="str">
        <f t="shared" ca="1" si="25"/>
        <v/>
      </c>
      <c r="AF37" s="13" t="str">
        <f t="shared" ca="1" si="25"/>
        <v/>
      </c>
      <c r="AG37" s="13" t="str">
        <f t="shared" ca="1" si="25"/>
        <v/>
      </c>
      <c r="AH37" s="13" t="str">
        <f t="shared" ca="1" si="25"/>
        <v/>
      </c>
      <c r="AI37" s="13" t="str">
        <f t="shared" ca="1" si="25"/>
        <v/>
      </c>
      <c r="AJ37" s="13" t="str">
        <f t="shared" ca="1" si="25"/>
        <v/>
      </c>
      <c r="AK37" s="13" t="str">
        <f t="shared" ca="1" si="25"/>
        <v/>
      </c>
      <c r="AL37" s="13" t="str">
        <f t="shared" ca="1" si="25"/>
        <v/>
      </c>
      <c r="AM37" s="13" t="str">
        <f t="shared" ca="1" si="25"/>
        <v/>
      </c>
      <c r="AN37" s="13" t="str">
        <f t="shared" ca="1" si="25"/>
        <v/>
      </c>
      <c r="AO37" s="13" t="str">
        <f t="shared" ca="1" si="26"/>
        <v/>
      </c>
      <c r="AP37" s="13" t="str">
        <f t="shared" ca="1" si="26"/>
        <v/>
      </c>
      <c r="AQ37" s="13" t="str">
        <f t="shared" ca="1" si="26"/>
        <v/>
      </c>
      <c r="AR37" s="13" t="str">
        <f t="shared" ca="1" si="26"/>
        <v/>
      </c>
      <c r="AS37" s="13" t="str">
        <f t="shared" ca="1" si="26"/>
        <v/>
      </c>
      <c r="AT37" s="13" t="str">
        <f t="shared" ca="1" si="26"/>
        <v/>
      </c>
      <c r="AU37" s="13" t="str">
        <f t="shared" ca="1" si="26"/>
        <v/>
      </c>
      <c r="AV37" s="13" t="str">
        <f t="shared" ca="1" si="26"/>
        <v/>
      </c>
      <c r="AW37" s="13" t="str">
        <f t="shared" ca="1" si="26"/>
        <v/>
      </c>
      <c r="AX37" s="13" t="str">
        <f t="shared" ca="1" si="26"/>
        <v/>
      </c>
      <c r="AY37" s="13" t="str">
        <f t="shared" ca="1" si="26"/>
        <v/>
      </c>
      <c r="AZ37" s="13" t="str">
        <f t="shared" ca="1" si="26"/>
        <v/>
      </c>
      <c r="BA37" s="13" t="str">
        <f t="shared" ca="1" si="26"/>
        <v/>
      </c>
      <c r="BB37" s="13" t="str">
        <f t="shared" ca="1" si="26"/>
        <v/>
      </c>
      <c r="BC37" s="13" t="str">
        <f t="shared" ca="1" si="26"/>
        <v/>
      </c>
      <c r="BD37" s="13" t="str">
        <f t="shared" ca="1" si="27"/>
        <v/>
      </c>
      <c r="BE37" s="13" t="str">
        <f t="shared" ca="1" si="27"/>
        <v/>
      </c>
      <c r="BF37" s="13" t="str">
        <f t="shared" ca="1" si="27"/>
        <v/>
      </c>
      <c r="BG37" s="13" t="str">
        <f t="shared" ca="1" si="27"/>
        <v/>
      </c>
      <c r="BH37" s="13" t="str">
        <f t="shared" ca="1" si="27"/>
        <v/>
      </c>
      <c r="BI37" s="13" t="str">
        <f t="shared" ca="1" si="27"/>
        <v/>
      </c>
      <c r="BJ37" s="13" t="str">
        <f t="shared" ca="1" si="27"/>
        <v/>
      </c>
      <c r="BK37" s="13" t="str">
        <f t="shared" ca="1" si="27"/>
        <v/>
      </c>
      <c r="BL37" s="13" t="str">
        <f t="shared" ca="1" si="27"/>
        <v/>
      </c>
      <c r="BM37" s="13" t="str">
        <f t="shared" ca="1" si="27"/>
        <v/>
      </c>
      <c r="BN37" s="13" t="str">
        <f t="shared" ca="1" si="27"/>
        <v/>
      </c>
      <c r="BO37" s="13" t="str">
        <f t="shared" ca="1" si="27"/>
        <v/>
      </c>
      <c r="BP37" s="13" t="str">
        <f t="shared" ca="1" si="27"/>
        <v/>
      </c>
      <c r="BQ37" s="13" t="str">
        <f t="shared" ca="1" si="27"/>
        <v/>
      </c>
      <c r="BR37" s="13" t="str">
        <f t="shared" ca="1" si="27"/>
        <v/>
      </c>
      <c r="BS37" s="13" t="str">
        <f t="shared" ca="1" si="29"/>
        <v/>
      </c>
      <c r="BT37" s="13" t="str">
        <f t="shared" ca="1" si="29"/>
        <v/>
      </c>
      <c r="BU37" s="13" t="str">
        <f t="shared" ca="1" si="29"/>
        <v/>
      </c>
      <c r="BV37" s="13" t="str">
        <f t="shared" ca="1" si="29"/>
        <v/>
      </c>
      <c r="BW37" s="13" t="str">
        <f t="shared" ca="1" si="29"/>
        <v/>
      </c>
      <c r="BX37" s="13" t="str">
        <f t="shared" ca="1" si="29"/>
        <v/>
      </c>
      <c r="BY37" s="13" t="str">
        <f t="shared" ca="1" si="29"/>
        <v/>
      </c>
      <c r="BZ37" s="13" t="str">
        <f t="shared" ca="1" si="29"/>
        <v/>
      </c>
      <c r="CA37" s="13" t="str">
        <f t="shared" ca="1" si="29"/>
        <v/>
      </c>
      <c r="CB37" s="13" t="str">
        <f t="shared" ca="1" si="29"/>
        <v/>
      </c>
      <c r="CC37" s="13" t="str">
        <f t="shared" ca="1" si="29"/>
        <v/>
      </c>
      <c r="CD37" s="13" t="str">
        <f t="shared" ca="1" si="29"/>
        <v/>
      </c>
      <c r="CE37" s="13" t="str">
        <f t="shared" ca="1" si="29"/>
        <v/>
      </c>
      <c r="CF37" s="13" t="str">
        <f t="shared" ca="1" si="29"/>
        <v/>
      </c>
      <c r="CG37" s="13" t="str">
        <f t="shared" ca="1" si="29"/>
        <v/>
      </c>
      <c r="CH37" s="13" t="str">
        <f t="shared" ca="1" si="29"/>
        <v/>
      </c>
      <c r="CI37" s="13" t="str">
        <f t="shared" ca="1" si="29"/>
        <v/>
      </c>
      <c r="CJ37" s="13" t="str">
        <f t="shared" ca="1" si="29"/>
        <v/>
      </c>
      <c r="CK37" s="13" t="str">
        <f t="shared" ca="1" si="29"/>
        <v/>
      </c>
      <c r="CL37" s="13" t="str">
        <f t="shared" ca="1" si="29"/>
        <v/>
      </c>
      <c r="CM37" s="13" t="str">
        <f t="shared" ca="1" si="30"/>
        <v/>
      </c>
      <c r="CN37" s="13" t="str">
        <f t="shared" ca="1" si="30"/>
        <v/>
      </c>
      <c r="CO37" s="13" t="str">
        <f t="shared" ca="1" si="30"/>
        <v/>
      </c>
      <c r="CP37" s="13" t="str">
        <f t="shared" ca="1" si="30"/>
        <v/>
      </c>
      <c r="CQ37" s="13" t="str">
        <f t="shared" ca="1" si="30"/>
        <v/>
      </c>
      <c r="CR37" s="13" t="str">
        <f t="shared" ca="1" si="30"/>
        <v/>
      </c>
      <c r="CS37" s="13" t="str">
        <f t="shared" ca="1" si="30"/>
        <v/>
      </c>
      <c r="CT37" s="13" t="str">
        <f t="shared" ca="1" si="30"/>
        <v/>
      </c>
      <c r="CU37" s="13" t="str">
        <f t="shared" ca="1" si="30"/>
        <v/>
      </c>
      <c r="CV37" s="13" t="str">
        <f t="shared" ca="1" si="30"/>
        <v/>
      </c>
      <c r="CW37" s="13" t="str">
        <f t="shared" ca="1" si="30"/>
        <v/>
      </c>
      <c r="CX37" s="13" t="str">
        <f t="shared" ca="1" si="30"/>
        <v/>
      </c>
      <c r="CY37" s="13" t="str">
        <f t="shared" ca="1" si="30"/>
        <v/>
      </c>
      <c r="CZ37" s="13" t="str">
        <f t="shared" ca="1" si="30"/>
        <v/>
      </c>
      <c r="DA37" s="13" t="str">
        <f t="shared" ca="1" si="30"/>
        <v/>
      </c>
      <c r="DB37" s="13" t="str">
        <f t="shared" ca="1" si="30"/>
        <v/>
      </c>
      <c r="DC37" s="13" t="str">
        <f t="shared" ca="1" si="30"/>
        <v/>
      </c>
      <c r="DD37" s="13" t="str">
        <f t="shared" ca="1" si="30"/>
        <v/>
      </c>
      <c r="DE37" s="13" t="str">
        <f t="shared" ca="1" si="30"/>
        <v/>
      </c>
      <c r="DF37" s="13" t="str">
        <f t="shared" ca="1" si="30"/>
        <v/>
      </c>
      <c r="DG37" s="13" t="str">
        <f t="shared" ca="1" si="30"/>
        <v/>
      </c>
      <c r="DH37" s="13" t="str">
        <f t="shared" ca="1" si="30"/>
        <v/>
      </c>
      <c r="DI37" s="13" t="str">
        <f t="shared" ca="1" si="30"/>
        <v/>
      </c>
      <c r="DJ37" s="13" t="str">
        <f t="shared" ca="1" si="30"/>
        <v/>
      </c>
      <c r="DK37" s="13" t="str">
        <f t="shared" ca="1" si="30"/>
        <v/>
      </c>
      <c r="DL37" s="13" t="str">
        <f t="shared" ca="1" si="30"/>
        <v/>
      </c>
      <c r="DM37" s="13" t="str">
        <f t="shared" ca="1" si="30"/>
        <v/>
      </c>
      <c r="DN37" s="13" t="str">
        <f t="shared" ca="1" si="30"/>
        <v/>
      </c>
      <c r="DO37" s="13" t="str">
        <f t="shared" ca="1" si="30"/>
        <v/>
      </c>
      <c r="DP37" s="13" t="str">
        <f t="shared" ca="1" si="30"/>
        <v/>
      </c>
      <c r="DQ37" s="13" t="str">
        <f t="shared" ca="1" si="30"/>
        <v/>
      </c>
      <c r="DR37" s="13" t="str">
        <f t="shared" ca="1" si="30"/>
        <v/>
      </c>
      <c r="DS37" s="13" t="str">
        <f t="shared" ca="1" si="30"/>
        <v/>
      </c>
      <c r="DT37" s="13" t="str">
        <f t="shared" ca="1" si="30"/>
        <v/>
      </c>
      <c r="DU37" s="13" t="str">
        <f t="shared" ca="1" si="30"/>
        <v/>
      </c>
      <c r="DV37" s="13" t="str">
        <f t="shared" ca="1" si="30"/>
        <v/>
      </c>
      <c r="DW37" s="13" t="str">
        <f t="shared" ca="1" si="30"/>
        <v/>
      </c>
      <c r="DX37" s="13" t="str">
        <f t="shared" ca="1" si="30"/>
        <v/>
      </c>
      <c r="DY37" s="13" t="str">
        <f t="shared" ca="1" si="30"/>
        <v/>
      </c>
      <c r="DZ37" s="13" t="str">
        <f t="shared" ca="1" si="30"/>
        <v/>
      </c>
      <c r="EA37" s="13" t="str">
        <f t="shared" ca="1" si="30"/>
        <v/>
      </c>
      <c r="EB37" s="13" t="str">
        <f t="shared" ca="1" si="30"/>
        <v/>
      </c>
      <c r="EC37" s="13" t="str">
        <f t="shared" ca="1" si="30"/>
        <v/>
      </c>
      <c r="ED37" s="13" t="str">
        <f t="shared" ca="1" si="30"/>
        <v/>
      </c>
      <c r="EE37" s="13" t="str">
        <f t="shared" ca="1" si="30"/>
        <v/>
      </c>
      <c r="EF37" s="13" t="str">
        <f t="shared" ca="1" si="30"/>
        <v/>
      </c>
      <c r="EG37" s="13" t="str">
        <f t="shared" ca="1" si="30"/>
        <v/>
      </c>
      <c r="EH37" s="13" t="str">
        <f t="shared" ca="1" si="30"/>
        <v/>
      </c>
      <c r="EI37" s="13" t="str">
        <f t="shared" ca="1" si="30"/>
        <v/>
      </c>
      <c r="EJ37" s="13" t="str">
        <f t="shared" ca="1" si="30"/>
        <v/>
      </c>
    </row>
    <row r="38" spans="1:140" s="1" customFormat="1" ht="40.15" customHeight="1" x14ac:dyDescent="0.25">
      <c r="A38" s="4"/>
      <c r="B38" s="46" t="s">
        <v>37</v>
      </c>
      <c r="C38" s="47"/>
      <c r="D38" s="47"/>
      <c r="E38" s="48"/>
      <c r="F38" s="49"/>
      <c r="G38" s="50"/>
      <c r="H38" s="51"/>
      <c r="I38" s="13" t="str">
        <f t="shared" ca="1" si="24"/>
        <v/>
      </c>
      <c r="J38" s="13" t="str">
        <f t="shared" ca="1" si="24"/>
        <v/>
      </c>
      <c r="K38" s="13" t="str">
        <f t="shared" ca="1" si="24"/>
        <v/>
      </c>
      <c r="L38" s="13" t="str">
        <f t="shared" ca="1" si="24"/>
        <v/>
      </c>
      <c r="M38" s="13" t="str">
        <f t="shared" ca="1" si="24"/>
        <v/>
      </c>
      <c r="N38" s="13" t="str">
        <f t="shared" ca="1" si="24"/>
        <v/>
      </c>
      <c r="O38" s="13" t="str">
        <f t="shared" ca="1" si="24"/>
        <v/>
      </c>
      <c r="P38" s="13" t="str">
        <f t="shared" ca="1" si="24"/>
        <v/>
      </c>
      <c r="Q38" s="13" t="str">
        <f t="shared" ca="1" si="24"/>
        <v/>
      </c>
      <c r="R38" s="13" t="str">
        <f t="shared" ca="1" si="24"/>
        <v/>
      </c>
      <c r="S38" s="13" t="str">
        <f t="shared" ca="1" si="24"/>
        <v/>
      </c>
      <c r="T38" s="13" t="str">
        <f t="shared" ca="1" si="24"/>
        <v/>
      </c>
      <c r="U38" s="13" t="str">
        <f t="shared" ca="1" si="24"/>
        <v/>
      </c>
      <c r="V38" s="13" t="str">
        <f t="shared" ca="1" si="24"/>
        <v/>
      </c>
      <c r="W38" s="13" t="str">
        <f t="shared" ca="1" si="24"/>
        <v/>
      </c>
      <c r="X38" s="13" t="str">
        <f t="shared" ca="1" si="24"/>
        <v/>
      </c>
      <c r="Y38" s="13" t="str">
        <f t="shared" ca="1" si="25"/>
        <v/>
      </c>
      <c r="Z38" s="13" t="str">
        <f t="shared" ca="1" si="25"/>
        <v/>
      </c>
      <c r="AA38" s="13" t="str">
        <f t="shared" ca="1" si="25"/>
        <v/>
      </c>
      <c r="AB38" s="13" t="str">
        <f t="shared" ca="1" si="25"/>
        <v/>
      </c>
      <c r="AC38" s="13" t="str">
        <f t="shared" ca="1" si="25"/>
        <v/>
      </c>
      <c r="AD38" s="13" t="str">
        <f t="shared" ca="1" si="25"/>
        <v/>
      </c>
      <c r="AE38" s="13" t="str">
        <f t="shared" ca="1" si="25"/>
        <v/>
      </c>
      <c r="AF38" s="13" t="str">
        <f t="shared" ca="1" si="25"/>
        <v/>
      </c>
      <c r="AG38" s="13" t="str">
        <f t="shared" ca="1" si="25"/>
        <v/>
      </c>
      <c r="AH38" s="13" t="str">
        <f t="shared" ca="1" si="25"/>
        <v/>
      </c>
      <c r="AI38" s="13" t="str">
        <f t="shared" ca="1" si="25"/>
        <v/>
      </c>
      <c r="AJ38" s="13" t="str">
        <f t="shared" ca="1" si="25"/>
        <v/>
      </c>
      <c r="AK38" s="13" t="str">
        <f t="shared" ca="1" si="25"/>
        <v/>
      </c>
      <c r="AL38" s="13" t="str">
        <f t="shared" ca="1" si="25"/>
        <v/>
      </c>
      <c r="AM38" s="13" t="str">
        <f t="shared" ca="1" si="25"/>
        <v/>
      </c>
      <c r="AN38" s="13" t="str">
        <f t="shared" ca="1" si="25"/>
        <v/>
      </c>
      <c r="AO38" s="13" t="str">
        <f t="shared" ca="1" si="26"/>
        <v/>
      </c>
      <c r="AP38" s="13" t="str">
        <f t="shared" ca="1" si="26"/>
        <v/>
      </c>
      <c r="AQ38" s="13" t="str">
        <f t="shared" ca="1" si="26"/>
        <v/>
      </c>
      <c r="AR38" s="13" t="str">
        <f t="shared" ca="1" si="26"/>
        <v/>
      </c>
      <c r="AS38" s="13" t="str">
        <f t="shared" ca="1" si="26"/>
        <v/>
      </c>
      <c r="AT38" s="13" t="str">
        <f t="shared" ca="1" si="26"/>
        <v/>
      </c>
      <c r="AU38" s="13" t="str">
        <f t="shared" ca="1" si="26"/>
        <v/>
      </c>
      <c r="AV38" s="13" t="str">
        <f t="shared" ca="1" si="26"/>
        <v/>
      </c>
      <c r="AW38" s="13" t="str">
        <f t="shared" ca="1" si="26"/>
        <v/>
      </c>
      <c r="AX38" s="13" t="str">
        <f t="shared" ca="1" si="26"/>
        <v/>
      </c>
      <c r="AY38" s="13" t="str">
        <f t="shared" ca="1" si="26"/>
        <v/>
      </c>
      <c r="AZ38" s="13" t="str">
        <f t="shared" ca="1" si="26"/>
        <v/>
      </c>
      <c r="BA38" s="13" t="str">
        <f t="shared" ca="1" si="26"/>
        <v/>
      </c>
      <c r="BB38" s="13" t="str">
        <f t="shared" ca="1" si="26"/>
        <v/>
      </c>
      <c r="BC38" s="13" t="str">
        <f t="shared" ca="1" si="26"/>
        <v/>
      </c>
      <c r="BD38" s="13" t="str">
        <f t="shared" ca="1" si="27"/>
        <v/>
      </c>
      <c r="BE38" s="13" t="str">
        <f t="shared" ca="1" si="27"/>
        <v/>
      </c>
      <c r="BF38" s="13" t="str">
        <f t="shared" ca="1" si="27"/>
        <v/>
      </c>
      <c r="BG38" s="13" t="str">
        <f t="shared" ca="1" si="27"/>
        <v/>
      </c>
      <c r="BH38" s="13" t="str">
        <f t="shared" ca="1" si="27"/>
        <v/>
      </c>
      <c r="BI38" s="13" t="str">
        <f t="shared" ca="1" si="27"/>
        <v/>
      </c>
      <c r="BJ38" s="13" t="str">
        <f t="shared" ca="1" si="27"/>
        <v/>
      </c>
      <c r="BK38" s="13" t="str">
        <f t="shared" ca="1" si="27"/>
        <v/>
      </c>
      <c r="BL38" s="13" t="str">
        <f t="shared" ca="1" si="27"/>
        <v/>
      </c>
      <c r="BM38" s="13" t="str">
        <f t="shared" ca="1" si="27"/>
        <v/>
      </c>
      <c r="BN38" s="13" t="str">
        <f t="shared" ca="1" si="27"/>
        <v/>
      </c>
      <c r="BO38" s="13" t="str">
        <f t="shared" ca="1" si="27"/>
        <v/>
      </c>
      <c r="BP38" s="13" t="str">
        <f t="shared" ca="1" si="27"/>
        <v/>
      </c>
      <c r="BQ38" s="13" t="str">
        <f t="shared" ca="1" si="27"/>
        <v/>
      </c>
      <c r="BR38" s="13" t="str">
        <f t="shared" ca="1" si="27"/>
        <v/>
      </c>
      <c r="BS38" s="13" t="str">
        <f t="shared" ca="1" si="29"/>
        <v/>
      </c>
      <c r="BT38" s="13" t="str">
        <f t="shared" ca="1" si="29"/>
        <v/>
      </c>
      <c r="BU38" s="13" t="str">
        <f t="shared" ca="1" si="29"/>
        <v/>
      </c>
      <c r="BV38" s="13" t="str">
        <f t="shared" ca="1" si="29"/>
        <v/>
      </c>
      <c r="BW38" s="13" t="str">
        <f t="shared" ca="1" si="29"/>
        <v/>
      </c>
      <c r="BX38" s="13" t="str">
        <f t="shared" ca="1" si="29"/>
        <v/>
      </c>
      <c r="BY38" s="13" t="str">
        <f t="shared" ca="1" si="29"/>
        <v/>
      </c>
      <c r="BZ38" s="13" t="str">
        <f t="shared" ca="1" si="29"/>
        <v/>
      </c>
      <c r="CA38" s="13" t="str">
        <f t="shared" ca="1" si="29"/>
        <v/>
      </c>
      <c r="CB38" s="13" t="str">
        <f t="shared" ca="1" si="29"/>
        <v/>
      </c>
      <c r="CC38" s="13" t="str">
        <f t="shared" ca="1" si="29"/>
        <v/>
      </c>
      <c r="CD38" s="13" t="str">
        <f t="shared" ca="1" si="29"/>
        <v/>
      </c>
      <c r="CE38" s="13" t="str">
        <f t="shared" ca="1" si="29"/>
        <v/>
      </c>
      <c r="CF38" s="13" t="str">
        <f t="shared" ca="1" si="29"/>
        <v/>
      </c>
      <c r="CG38" s="13" t="str">
        <f t="shared" ca="1" si="29"/>
        <v/>
      </c>
      <c r="CH38" s="13" t="str">
        <f t="shared" ca="1" si="29"/>
        <v/>
      </c>
      <c r="CI38" s="13" t="str">
        <f t="shared" ca="1" si="29"/>
        <v/>
      </c>
      <c r="CJ38" s="13" t="str">
        <f t="shared" ca="1" si="29"/>
        <v/>
      </c>
      <c r="CK38" s="13" t="str">
        <f t="shared" ca="1" si="29"/>
        <v/>
      </c>
      <c r="CL38" s="13" t="str">
        <f t="shared" ca="1" si="29"/>
        <v/>
      </c>
      <c r="CM38" s="13" t="str">
        <f t="shared" ca="1" si="30"/>
        <v/>
      </c>
      <c r="CN38" s="13" t="str">
        <f t="shared" ca="1" si="30"/>
        <v/>
      </c>
      <c r="CO38" s="13" t="str">
        <f t="shared" ca="1" si="30"/>
        <v/>
      </c>
      <c r="CP38" s="13" t="str">
        <f t="shared" ca="1" si="30"/>
        <v/>
      </c>
      <c r="CQ38" s="13" t="str">
        <f t="shared" ca="1" si="30"/>
        <v/>
      </c>
      <c r="CR38" s="13" t="str">
        <f t="shared" ca="1" si="30"/>
        <v/>
      </c>
      <c r="CS38" s="13" t="str">
        <f t="shared" ca="1" si="30"/>
        <v/>
      </c>
      <c r="CT38" s="13" t="str">
        <f t="shared" ca="1" si="30"/>
        <v/>
      </c>
      <c r="CU38" s="13" t="str">
        <f t="shared" ca="1" si="30"/>
        <v/>
      </c>
      <c r="CV38" s="13" t="str">
        <f t="shared" ca="1" si="30"/>
        <v/>
      </c>
      <c r="CW38" s="13" t="str">
        <f t="shared" ca="1" si="30"/>
        <v/>
      </c>
      <c r="CX38" s="13" t="str">
        <f t="shared" ca="1" si="30"/>
        <v/>
      </c>
      <c r="CY38" s="13" t="str">
        <f t="shared" ca="1" si="30"/>
        <v/>
      </c>
      <c r="CZ38" s="13" t="str">
        <f t="shared" ca="1" si="30"/>
        <v/>
      </c>
      <c r="DA38" s="13" t="str">
        <f t="shared" ca="1" si="30"/>
        <v/>
      </c>
      <c r="DB38" s="13" t="str">
        <f t="shared" ca="1" si="30"/>
        <v/>
      </c>
      <c r="DC38" s="13" t="str">
        <f t="shared" ca="1" si="30"/>
        <v/>
      </c>
      <c r="DD38" s="13" t="str">
        <f t="shared" ca="1" si="30"/>
        <v/>
      </c>
      <c r="DE38" s="13" t="str">
        <f t="shared" ca="1" si="30"/>
        <v/>
      </c>
      <c r="DF38" s="13" t="str">
        <f t="shared" ca="1" si="30"/>
        <v/>
      </c>
      <c r="DG38" s="13" t="str">
        <f t="shared" ca="1" si="30"/>
        <v/>
      </c>
      <c r="DH38" s="13" t="str">
        <f t="shared" ca="1" si="30"/>
        <v/>
      </c>
      <c r="DI38" s="13" t="str">
        <f t="shared" ca="1" si="30"/>
        <v/>
      </c>
      <c r="DJ38" s="13" t="str">
        <f t="shared" ca="1" si="30"/>
        <v/>
      </c>
      <c r="DK38" s="13" t="str">
        <f t="shared" ca="1" si="30"/>
        <v/>
      </c>
      <c r="DL38" s="13" t="str">
        <f t="shared" ca="1" si="30"/>
        <v/>
      </c>
      <c r="DM38" s="13" t="str">
        <f t="shared" ca="1" si="30"/>
        <v/>
      </c>
      <c r="DN38" s="13" t="str">
        <f t="shared" ca="1" si="30"/>
        <v/>
      </c>
      <c r="DO38" s="13" t="str">
        <f t="shared" ca="1" si="30"/>
        <v/>
      </c>
      <c r="DP38" s="13" t="str">
        <f t="shared" ca="1" si="30"/>
        <v/>
      </c>
      <c r="DQ38" s="13" t="str">
        <f t="shared" ca="1" si="30"/>
        <v/>
      </c>
      <c r="DR38" s="13" t="str">
        <f t="shared" ca="1" si="30"/>
        <v/>
      </c>
      <c r="DS38" s="13" t="str">
        <f t="shared" ca="1" si="30"/>
        <v/>
      </c>
      <c r="DT38" s="13" t="str">
        <f t="shared" ca="1" si="30"/>
        <v/>
      </c>
      <c r="DU38" s="13" t="str">
        <f t="shared" ca="1" si="30"/>
        <v/>
      </c>
      <c r="DV38" s="13" t="str">
        <f t="shared" ca="1" si="30"/>
        <v/>
      </c>
      <c r="DW38" s="13" t="str">
        <f t="shared" ca="1" si="30"/>
        <v/>
      </c>
      <c r="DX38" s="13" t="str">
        <f t="shared" ca="1" si="30"/>
        <v/>
      </c>
      <c r="DY38" s="13" t="str">
        <f t="shared" ca="1" si="30"/>
        <v/>
      </c>
      <c r="DZ38" s="13" t="str">
        <f t="shared" ca="1" si="30"/>
        <v/>
      </c>
      <c r="EA38" s="13" t="str">
        <f t="shared" ca="1" si="30"/>
        <v/>
      </c>
      <c r="EB38" s="13" t="str">
        <f t="shared" ca="1" si="30"/>
        <v/>
      </c>
      <c r="EC38" s="13" t="str">
        <f t="shared" ca="1" si="30"/>
        <v/>
      </c>
      <c r="ED38" s="13" t="str">
        <f t="shared" ca="1" si="30"/>
        <v/>
      </c>
      <c r="EE38" s="13" t="str">
        <f t="shared" ca="1" si="30"/>
        <v/>
      </c>
      <c r="EF38" s="13" t="str">
        <f t="shared" ca="1" si="30"/>
        <v/>
      </c>
      <c r="EG38" s="13" t="str">
        <f t="shared" ca="1" si="30"/>
        <v/>
      </c>
      <c r="EH38" s="13" t="str">
        <f t="shared" ca="1" si="30"/>
        <v/>
      </c>
      <c r="EI38" s="13" t="str">
        <f t="shared" ca="1" si="30"/>
        <v/>
      </c>
      <c r="EJ38" s="13" t="str">
        <f t="shared" ca="1" si="30"/>
        <v/>
      </c>
    </row>
    <row r="39" spans="1:140" s="1" customFormat="1" ht="40.15" customHeight="1" x14ac:dyDescent="0.25">
      <c r="A39" s="4"/>
      <c r="B39" s="52" t="s">
        <v>19</v>
      </c>
      <c r="C39" s="47" t="s">
        <v>6</v>
      </c>
      <c r="D39" s="47" t="s">
        <v>41</v>
      </c>
      <c r="E39" s="48"/>
      <c r="F39" s="49">
        <f>F36+2</f>
        <v>44395</v>
      </c>
      <c r="G39" s="50">
        <v>1</v>
      </c>
      <c r="H39" s="51"/>
      <c r="I39" s="13" t="str">
        <f t="shared" ca="1" si="24"/>
        <v/>
      </c>
      <c r="J39" s="13" t="str">
        <f t="shared" ca="1" si="24"/>
        <v/>
      </c>
      <c r="K39" s="13" t="str">
        <f t="shared" ca="1" si="24"/>
        <v/>
      </c>
      <c r="L39" s="13" t="str">
        <f t="shared" ca="1" si="24"/>
        <v/>
      </c>
      <c r="M39" s="13" t="str">
        <f t="shared" ca="1" si="24"/>
        <v/>
      </c>
      <c r="N39" s="13" t="str">
        <f t="shared" ca="1" si="24"/>
        <v/>
      </c>
      <c r="O39" s="13" t="str">
        <f t="shared" ca="1" si="24"/>
        <v/>
      </c>
      <c r="P39" s="13" t="str">
        <f t="shared" ca="1" si="24"/>
        <v/>
      </c>
      <c r="Q39" s="13" t="str">
        <f t="shared" ca="1" si="24"/>
        <v/>
      </c>
      <c r="R39" s="13" t="str">
        <f t="shared" ca="1" si="24"/>
        <v/>
      </c>
      <c r="S39" s="13" t="str">
        <f t="shared" ca="1" si="24"/>
        <v/>
      </c>
      <c r="T39" s="13" t="str">
        <f t="shared" ca="1" si="24"/>
        <v/>
      </c>
      <c r="U39" s="13" t="str">
        <f t="shared" ca="1" si="24"/>
        <v/>
      </c>
      <c r="V39" s="13" t="str">
        <f t="shared" ca="1" si="24"/>
        <v/>
      </c>
      <c r="W39" s="13" t="str">
        <f t="shared" ca="1" si="24"/>
        <v/>
      </c>
      <c r="X39" s="13" t="str">
        <f t="shared" ca="1" si="24"/>
        <v/>
      </c>
      <c r="Y39" s="13" t="str">
        <f t="shared" ca="1" si="25"/>
        <v/>
      </c>
      <c r="Z39" s="13" t="str">
        <f t="shared" ca="1" si="25"/>
        <v/>
      </c>
      <c r="AA39" s="13" t="str">
        <f t="shared" ca="1" si="25"/>
        <v/>
      </c>
      <c r="AB39" s="13" t="str">
        <f t="shared" ca="1" si="25"/>
        <v/>
      </c>
      <c r="AC39" s="13" t="str">
        <f t="shared" ca="1" si="25"/>
        <v/>
      </c>
      <c r="AD39" s="13" t="str">
        <f t="shared" ca="1" si="25"/>
        <v/>
      </c>
      <c r="AE39" s="13" t="str">
        <f t="shared" ca="1" si="25"/>
        <v/>
      </c>
      <c r="AF39" s="13" t="str">
        <f t="shared" ca="1" si="25"/>
        <v/>
      </c>
      <c r="AG39" s="13" t="str">
        <f t="shared" ca="1" si="25"/>
        <v/>
      </c>
      <c r="AH39" s="13" t="str">
        <f t="shared" ca="1" si="25"/>
        <v/>
      </c>
      <c r="AI39" s="13" t="str">
        <f t="shared" ca="1" si="25"/>
        <v/>
      </c>
      <c r="AJ39" s="13" t="str">
        <f t="shared" ca="1" si="25"/>
        <v/>
      </c>
      <c r="AK39" s="13" t="str">
        <f t="shared" ca="1" si="25"/>
        <v/>
      </c>
      <c r="AL39" s="13" t="str">
        <f t="shared" ca="1" si="25"/>
        <v/>
      </c>
      <c r="AM39" s="13" t="str">
        <f t="shared" ca="1" si="25"/>
        <v/>
      </c>
      <c r="AN39" s="13" t="str">
        <f t="shared" ca="1" si="25"/>
        <v/>
      </c>
      <c r="AO39" s="13" t="str">
        <f t="shared" ca="1" si="26"/>
        <v/>
      </c>
      <c r="AP39" s="13" t="str">
        <f t="shared" ca="1" si="26"/>
        <v/>
      </c>
      <c r="AQ39" s="13" t="str">
        <f t="shared" ca="1" si="26"/>
        <v/>
      </c>
      <c r="AR39" s="13" t="str">
        <f t="shared" ca="1" si="26"/>
        <v/>
      </c>
      <c r="AS39" s="13" t="str">
        <f t="shared" ca="1" si="26"/>
        <v/>
      </c>
      <c r="AT39" s="13" t="str">
        <f t="shared" ca="1" si="26"/>
        <v/>
      </c>
      <c r="AU39" s="13" t="str">
        <f t="shared" ca="1" si="26"/>
        <v/>
      </c>
      <c r="AV39" s="13" t="str">
        <f t="shared" ca="1" si="26"/>
        <v/>
      </c>
      <c r="AW39" s="13" t="str">
        <f t="shared" ca="1" si="26"/>
        <v/>
      </c>
      <c r="AX39" s="13" t="str">
        <f t="shared" ca="1" si="26"/>
        <v/>
      </c>
      <c r="AY39" s="13" t="str">
        <f t="shared" ca="1" si="26"/>
        <v/>
      </c>
      <c r="AZ39" s="13" t="str">
        <f t="shared" ca="1" si="26"/>
        <v/>
      </c>
      <c r="BA39" s="13" t="str">
        <f t="shared" ca="1" si="26"/>
        <v/>
      </c>
      <c r="BB39" s="13" t="str">
        <f t="shared" ca="1" si="26"/>
        <v/>
      </c>
      <c r="BC39" s="13" t="str">
        <f t="shared" ca="1" si="26"/>
        <v/>
      </c>
      <c r="BD39" s="13" t="str">
        <f t="shared" ca="1" si="27"/>
        <v/>
      </c>
      <c r="BE39" s="13" t="str">
        <f t="shared" ca="1" si="27"/>
        <v/>
      </c>
      <c r="BF39" s="13" t="str">
        <f t="shared" ca="1" si="27"/>
        <v/>
      </c>
      <c r="BG39" s="13" t="str">
        <f t="shared" ca="1" si="27"/>
        <v/>
      </c>
      <c r="BH39" s="13" t="str">
        <f t="shared" ca="1" si="27"/>
        <v/>
      </c>
      <c r="BI39" s="13" t="str">
        <f t="shared" ca="1" si="27"/>
        <v/>
      </c>
      <c r="BJ39" s="13" t="str">
        <f t="shared" ca="1" si="27"/>
        <v/>
      </c>
      <c r="BK39" s="13" t="str">
        <f t="shared" ca="1" si="27"/>
        <v/>
      </c>
      <c r="BL39" s="13" t="str">
        <f t="shared" ca="1" si="27"/>
        <v/>
      </c>
      <c r="BM39" s="13">
        <f t="shared" ca="1" si="27"/>
        <v>1</v>
      </c>
      <c r="BN39" s="13" t="str">
        <f t="shared" ca="1" si="27"/>
        <v/>
      </c>
      <c r="BO39" s="13" t="str">
        <f t="shared" ca="1" si="27"/>
        <v/>
      </c>
      <c r="BP39" s="13" t="str">
        <f t="shared" ca="1" si="27"/>
        <v/>
      </c>
      <c r="BQ39" s="13" t="str">
        <f t="shared" ca="1" si="27"/>
        <v/>
      </c>
      <c r="BR39" s="13" t="str">
        <f t="shared" ca="1" si="27"/>
        <v/>
      </c>
      <c r="BS39" s="13" t="str">
        <f t="shared" ca="1" si="29"/>
        <v/>
      </c>
      <c r="BT39" s="13" t="str">
        <f t="shared" ca="1" si="29"/>
        <v/>
      </c>
      <c r="BU39" s="13" t="str">
        <f t="shared" ca="1" si="29"/>
        <v/>
      </c>
      <c r="BV39" s="13" t="str">
        <f t="shared" ca="1" si="29"/>
        <v/>
      </c>
      <c r="BW39" s="13" t="str">
        <f t="shared" ca="1" si="29"/>
        <v/>
      </c>
      <c r="BX39" s="13" t="str">
        <f t="shared" ca="1" si="29"/>
        <v/>
      </c>
      <c r="BY39" s="13" t="str">
        <f t="shared" ca="1" si="29"/>
        <v/>
      </c>
      <c r="BZ39" s="13" t="str">
        <f t="shared" ca="1" si="29"/>
        <v/>
      </c>
      <c r="CA39" s="13" t="str">
        <f t="shared" ca="1" si="29"/>
        <v/>
      </c>
      <c r="CB39" s="13" t="str">
        <f t="shared" ca="1" si="29"/>
        <v/>
      </c>
      <c r="CC39" s="13" t="str">
        <f t="shared" ca="1" si="29"/>
        <v/>
      </c>
      <c r="CD39" s="13" t="str">
        <f t="shared" ca="1" si="29"/>
        <v/>
      </c>
      <c r="CE39" s="13" t="str">
        <f t="shared" ca="1" si="29"/>
        <v/>
      </c>
      <c r="CF39" s="13" t="str">
        <f t="shared" ca="1" si="29"/>
        <v/>
      </c>
      <c r="CG39" s="13" t="str">
        <f t="shared" ca="1" si="29"/>
        <v/>
      </c>
      <c r="CH39" s="13" t="str">
        <f t="shared" ca="1" si="29"/>
        <v/>
      </c>
      <c r="CI39" s="13" t="str">
        <f t="shared" ca="1" si="29"/>
        <v/>
      </c>
      <c r="CJ39" s="13" t="str">
        <f t="shared" ca="1" si="29"/>
        <v/>
      </c>
      <c r="CK39" s="13" t="str">
        <f t="shared" ca="1" si="29"/>
        <v/>
      </c>
      <c r="CL39" s="13" t="str">
        <f t="shared" ca="1" si="29"/>
        <v/>
      </c>
      <c r="CM39" s="13" t="str">
        <f t="shared" ca="1" si="30"/>
        <v/>
      </c>
      <c r="CN39" s="13" t="str">
        <f t="shared" ca="1" si="30"/>
        <v/>
      </c>
      <c r="CO39" s="13" t="str">
        <f t="shared" ca="1" si="30"/>
        <v/>
      </c>
      <c r="CP39" s="13" t="str">
        <f t="shared" ca="1" si="30"/>
        <v/>
      </c>
      <c r="CQ39" s="13" t="str">
        <f t="shared" ca="1" si="30"/>
        <v/>
      </c>
      <c r="CR39" s="13" t="str">
        <f t="shared" ca="1" si="30"/>
        <v/>
      </c>
      <c r="CS39" s="13" t="str">
        <f t="shared" ca="1" si="30"/>
        <v/>
      </c>
      <c r="CT39" s="13" t="str">
        <f t="shared" ca="1" si="30"/>
        <v/>
      </c>
      <c r="CU39" s="13" t="str">
        <f t="shared" ca="1" si="30"/>
        <v/>
      </c>
      <c r="CV39" s="13" t="str">
        <f t="shared" ca="1" si="30"/>
        <v/>
      </c>
      <c r="CW39" s="13" t="str">
        <f t="shared" ca="1" si="30"/>
        <v/>
      </c>
      <c r="CX39" s="13" t="str">
        <f t="shared" ca="1" si="30"/>
        <v/>
      </c>
      <c r="CY39" s="13" t="str">
        <f t="shared" ca="1" si="30"/>
        <v/>
      </c>
      <c r="CZ39" s="13" t="str">
        <f t="shared" ca="1" si="30"/>
        <v/>
      </c>
      <c r="DA39" s="13" t="str">
        <f t="shared" ca="1" si="30"/>
        <v/>
      </c>
      <c r="DB39" s="13" t="str">
        <f t="shared" ca="1" si="30"/>
        <v/>
      </c>
      <c r="DC39" s="13" t="str">
        <f t="shared" ca="1" si="30"/>
        <v/>
      </c>
      <c r="DD39" s="13" t="str">
        <f t="shared" ca="1" si="30"/>
        <v/>
      </c>
      <c r="DE39" s="13" t="str">
        <f t="shared" ca="1" si="30"/>
        <v/>
      </c>
      <c r="DF39" s="13" t="str">
        <f t="shared" ca="1" si="30"/>
        <v/>
      </c>
      <c r="DG39" s="13" t="str">
        <f t="shared" ca="1" si="30"/>
        <v/>
      </c>
      <c r="DH39" s="13" t="str">
        <f t="shared" ca="1" si="30"/>
        <v/>
      </c>
      <c r="DI39" s="13" t="str">
        <f t="shared" ca="1" si="30"/>
        <v/>
      </c>
      <c r="DJ39" s="13" t="str">
        <f t="shared" ca="1" si="30"/>
        <v/>
      </c>
      <c r="DK39" s="13" t="str">
        <f t="shared" ca="1" si="30"/>
        <v/>
      </c>
      <c r="DL39" s="13" t="str">
        <f t="shared" ca="1" si="30"/>
        <v/>
      </c>
      <c r="DM39" s="13" t="str">
        <f t="shared" ca="1" si="30"/>
        <v/>
      </c>
      <c r="DN39" s="13" t="str">
        <f t="shared" ca="1" si="30"/>
        <v/>
      </c>
      <c r="DO39" s="13" t="str">
        <f t="shared" ca="1" si="30"/>
        <v/>
      </c>
      <c r="DP39" s="13" t="str">
        <f t="shared" ca="1" si="30"/>
        <v/>
      </c>
      <c r="DQ39" s="13" t="str">
        <f t="shared" ca="1" si="30"/>
        <v/>
      </c>
      <c r="DR39" s="13" t="str">
        <f t="shared" ca="1" si="30"/>
        <v/>
      </c>
      <c r="DS39" s="13" t="str">
        <f t="shared" ca="1" si="30"/>
        <v/>
      </c>
      <c r="DT39" s="13" t="str">
        <f t="shared" ca="1" si="30"/>
        <v/>
      </c>
      <c r="DU39" s="13" t="str">
        <f t="shared" ca="1" si="30"/>
        <v/>
      </c>
      <c r="DV39" s="13" t="str">
        <f t="shared" ca="1" si="30"/>
        <v/>
      </c>
      <c r="DW39" s="13" t="str">
        <f t="shared" ca="1" si="30"/>
        <v/>
      </c>
      <c r="DX39" s="13" t="str">
        <f t="shared" ca="1" si="30"/>
        <v/>
      </c>
      <c r="DY39" s="13" t="str">
        <f t="shared" ca="1" si="30"/>
        <v/>
      </c>
      <c r="DZ39" s="13" t="str">
        <f t="shared" ca="1" si="30"/>
        <v/>
      </c>
      <c r="EA39" s="13" t="str">
        <f t="shared" ca="1" si="30"/>
        <v/>
      </c>
      <c r="EB39" s="13" t="str">
        <f t="shared" ca="1" si="30"/>
        <v/>
      </c>
      <c r="EC39" s="13" t="str">
        <f t="shared" ca="1" si="30"/>
        <v/>
      </c>
      <c r="ED39" s="13" t="str">
        <f t="shared" ca="1" si="30"/>
        <v/>
      </c>
      <c r="EE39" s="13" t="str">
        <f t="shared" ca="1" si="30"/>
        <v/>
      </c>
      <c r="EF39" s="13" t="str">
        <f t="shared" ca="1" si="30"/>
        <v/>
      </c>
      <c r="EG39" s="13" t="str">
        <f t="shared" ca="1" si="30"/>
        <v/>
      </c>
      <c r="EH39" s="13" t="str">
        <f t="shared" ca="1" si="30"/>
        <v/>
      </c>
      <c r="EI39" s="13" t="str">
        <f t="shared" ca="1" si="30"/>
        <v/>
      </c>
      <c r="EJ39" s="13" t="str">
        <f t="shared" ca="1" si="30"/>
        <v/>
      </c>
    </row>
    <row r="40" spans="1:140" s="1" customFormat="1" ht="40.15" customHeight="1" x14ac:dyDescent="0.25">
      <c r="A40" s="4"/>
      <c r="B40" s="52" t="s">
        <v>20</v>
      </c>
      <c r="C40" s="47" t="s">
        <v>10</v>
      </c>
      <c r="D40" s="47"/>
      <c r="E40" s="48">
        <v>0</v>
      </c>
      <c r="F40" s="49">
        <f>F36+1</f>
        <v>44394</v>
      </c>
      <c r="G40" s="50">
        <v>2</v>
      </c>
      <c r="H40" s="51"/>
      <c r="I40" s="13" t="str">
        <f t="shared" ca="1" si="24"/>
        <v/>
      </c>
      <c r="J40" s="13" t="str">
        <f t="shared" ca="1" si="24"/>
        <v/>
      </c>
      <c r="K40" s="13" t="str">
        <f t="shared" ca="1" si="24"/>
        <v/>
      </c>
      <c r="L40" s="13" t="str">
        <f t="shared" ca="1" si="24"/>
        <v/>
      </c>
      <c r="M40" s="13" t="str">
        <f t="shared" ca="1" si="24"/>
        <v/>
      </c>
      <c r="N40" s="13" t="str">
        <f t="shared" ca="1" si="24"/>
        <v/>
      </c>
      <c r="O40" s="13" t="str">
        <f t="shared" ca="1" si="24"/>
        <v/>
      </c>
      <c r="P40" s="13" t="str">
        <f t="shared" ca="1" si="24"/>
        <v/>
      </c>
      <c r="Q40" s="13" t="str">
        <f t="shared" ca="1" si="24"/>
        <v/>
      </c>
      <c r="R40" s="13" t="str">
        <f t="shared" ca="1" si="24"/>
        <v/>
      </c>
      <c r="S40" s="13" t="str">
        <f t="shared" ca="1" si="24"/>
        <v/>
      </c>
      <c r="T40" s="13" t="str">
        <f t="shared" ca="1" si="24"/>
        <v/>
      </c>
      <c r="U40" s="13" t="str">
        <f t="shared" ca="1" si="24"/>
        <v/>
      </c>
      <c r="V40" s="13" t="str">
        <f t="shared" ca="1" si="24"/>
        <v/>
      </c>
      <c r="W40" s="13" t="str">
        <f t="shared" ca="1" si="24"/>
        <v/>
      </c>
      <c r="X40" s="13" t="str">
        <f t="shared" ca="1" si="24"/>
        <v/>
      </c>
      <c r="Y40" s="13" t="str">
        <f t="shared" ca="1" si="25"/>
        <v/>
      </c>
      <c r="Z40" s="13" t="str">
        <f t="shared" ca="1" si="25"/>
        <v/>
      </c>
      <c r="AA40" s="13" t="str">
        <f t="shared" ca="1" si="25"/>
        <v/>
      </c>
      <c r="AB40" s="13" t="str">
        <f t="shared" ca="1" si="25"/>
        <v/>
      </c>
      <c r="AC40" s="13" t="str">
        <f t="shared" ca="1" si="25"/>
        <v/>
      </c>
      <c r="AD40" s="13" t="str">
        <f t="shared" ca="1" si="25"/>
        <v/>
      </c>
      <c r="AE40" s="13" t="str">
        <f t="shared" ca="1" si="25"/>
        <v/>
      </c>
      <c r="AF40" s="13" t="str">
        <f t="shared" ca="1" si="25"/>
        <v/>
      </c>
      <c r="AG40" s="13" t="str">
        <f t="shared" ca="1" si="25"/>
        <v/>
      </c>
      <c r="AH40" s="13" t="str">
        <f t="shared" ca="1" si="25"/>
        <v/>
      </c>
      <c r="AI40" s="13" t="str">
        <f t="shared" ca="1" si="25"/>
        <v/>
      </c>
      <c r="AJ40" s="13" t="str">
        <f t="shared" ca="1" si="25"/>
        <v/>
      </c>
      <c r="AK40" s="13" t="str">
        <f t="shared" ca="1" si="25"/>
        <v/>
      </c>
      <c r="AL40" s="13" t="str">
        <f t="shared" ca="1" si="25"/>
        <v/>
      </c>
      <c r="AM40" s="13" t="str">
        <f t="shared" ca="1" si="25"/>
        <v/>
      </c>
      <c r="AN40" s="13" t="str">
        <f t="shared" ca="1" si="25"/>
        <v/>
      </c>
      <c r="AO40" s="13" t="str">
        <f t="shared" ca="1" si="26"/>
        <v/>
      </c>
      <c r="AP40" s="13" t="str">
        <f t="shared" ca="1" si="26"/>
        <v/>
      </c>
      <c r="AQ40" s="13" t="str">
        <f t="shared" ca="1" si="26"/>
        <v/>
      </c>
      <c r="AR40" s="13" t="str">
        <f t="shared" ca="1" si="26"/>
        <v/>
      </c>
      <c r="AS40" s="13" t="str">
        <f t="shared" ca="1" si="26"/>
        <v/>
      </c>
      <c r="AT40" s="13" t="str">
        <f t="shared" ca="1" si="26"/>
        <v/>
      </c>
      <c r="AU40" s="13" t="str">
        <f t="shared" ca="1" si="26"/>
        <v/>
      </c>
      <c r="AV40" s="13" t="str">
        <f t="shared" ca="1" si="26"/>
        <v/>
      </c>
      <c r="AW40" s="13" t="str">
        <f t="shared" ca="1" si="26"/>
        <v/>
      </c>
      <c r="AX40" s="13" t="str">
        <f t="shared" ca="1" si="26"/>
        <v/>
      </c>
      <c r="AY40" s="13" t="str">
        <f t="shared" ca="1" si="26"/>
        <v/>
      </c>
      <c r="AZ40" s="13" t="str">
        <f t="shared" ca="1" si="26"/>
        <v/>
      </c>
      <c r="BA40" s="13" t="str">
        <f t="shared" ca="1" si="26"/>
        <v/>
      </c>
      <c r="BB40" s="13" t="str">
        <f t="shared" ca="1" si="26"/>
        <v/>
      </c>
      <c r="BC40" s="13" t="str">
        <f t="shared" ca="1" si="26"/>
        <v/>
      </c>
      <c r="BD40" s="13" t="str">
        <f t="shared" ca="1" si="27"/>
        <v/>
      </c>
      <c r="BE40" s="13" t="str">
        <f t="shared" ca="1" si="27"/>
        <v/>
      </c>
      <c r="BF40" s="13" t="str">
        <f t="shared" ca="1" si="27"/>
        <v/>
      </c>
      <c r="BG40" s="13" t="str">
        <f t="shared" ca="1" si="27"/>
        <v/>
      </c>
      <c r="BH40" s="13" t="str">
        <f t="shared" ca="1" si="27"/>
        <v/>
      </c>
      <c r="BI40" s="13" t="str">
        <f t="shared" ca="1" si="27"/>
        <v/>
      </c>
      <c r="BJ40" s="13" t="str">
        <f t="shared" ca="1" si="27"/>
        <v/>
      </c>
      <c r="BK40" s="13" t="str">
        <f t="shared" ca="1" si="27"/>
        <v/>
      </c>
      <c r="BL40" s="13" t="str">
        <f t="shared" ca="1" si="27"/>
        <v/>
      </c>
      <c r="BM40" s="13" t="str">
        <f t="shared" ca="1" si="27"/>
        <v/>
      </c>
      <c r="BN40" s="13" t="str">
        <f t="shared" ca="1" si="27"/>
        <v/>
      </c>
      <c r="BO40" s="13" t="str">
        <f t="shared" ca="1" si="27"/>
        <v/>
      </c>
      <c r="BP40" s="13" t="str">
        <f t="shared" ca="1" si="27"/>
        <v/>
      </c>
      <c r="BQ40" s="13" t="str">
        <f t="shared" ca="1" si="27"/>
        <v/>
      </c>
      <c r="BR40" s="13" t="str">
        <f t="shared" ca="1" si="27"/>
        <v/>
      </c>
      <c r="BS40" s="13" t="str">
        <f t="shared" ca="1" si="29"/>
        <v/>
      </c>
      <c r="BT40" s="13" t="str">
        <f t="shared" ca="1" si="29"/>
        <v/>
      </c>
      <c r="BU40" s="13" t="str">
        <f t="shared" ca="1" si="29"/>
        <v/>
      </c>
      <c r="BV40" s="13" t="str">
        <f t="shared" ca="1" si="29"/>
        <v/>
      </c>
      <c r="BW40" s="13" t="str">
        <f t="shared" ca="1" si="29"/>
        <v/>
      </c>
      <c r="BX40" s="13" t="str">
        <f t="shared" ca="1" si="29"/>
        <v/>
      </c>
      <c r="BY40" s="13" t="str">
        <f t="shared" ca="1" si="29"/>
        <v/>
      </c>
      <c r="BZ40" s="13" t="str">
        <f t="shared" ca="1" si="29"/>
        <v/>
      </c>
      <c r="CA40" s="13" t="str">
        <f t="shared" ca="1" si="29"/>
        <v/>
      </c>
      <c r="CB40" s="13" t="str">
        <f t="shared" ca="1" si="29"/>
        <v/>
      </c>
      <c r="CC40" s="13" t="str">
        <f t="shared" ca="1" si="29"/>
        <v/>
      </c>
      <c r="CD40" s="13" t="str">
        <f t="shared" ca="1" si="29"/>
        <v/>
      </c>
      <c r="CE40" s="13" t="str">
        <f t="shared" ca="1" si="29"/>
        <v/>
      </c>
      <c r="CF40" s="13" t="str">
        <f t="shared" ca="1" si="29"/>
        <v/>
      </c>
      <c r="CG40" s="13" t="str">
        <f t="shared" ca="1" si="29"/>
        <v/>
      </c>
      <c r="CH40" s="13" t="str">
        <f t="shared" ca="1" si="29"/>
        <v/>
      </c>
      <c r="CI40" s="13" t="str">
        <f t="shared" ca="1" si="29"/>
        <v/>
      </c>
      <c r="CJ40" s="13" t="str">
        <f t="shared" ca="1" si="29"/>
        <v/>
      </c>
      <c r="CK40" s="13" t="str">
        <f t="shared" ca="1" si="29"/>
        <v/>
      </c>
      <c r="CL40" s="13" t="str">
        <f t="shared" ca="1" si="29"/>
        <v/>
      </c>
      <c r="CM40" s="13" t="str">
        <f t="shared" ca="1" si="30"/>
        <v/>
      </c>
      <c r="CN40" s="13" t="str">
        <f t="shared" ca="1" si="30"/>
        <v/>
      </c>
      <c r="CO40" s="13" t="str">
        <f t="shared" ca="1" si="30"/>
        <v/>
      </c>
      <c r="CP40" s="13" t="str">
        <f t="shared" ca="1" si="30"/>
        <v/>
      </c>
      <c r="CQ40" s="13" t="str">
        <f t="shared" ca="1" si="30"/>
        <v/>
      </c>
      <c r="CR40" s="13" t="str">
        <f t="shared" ca="1" si="30"/>
        <v/>
      </c>
      <c r="CS40" s="13" t="str">
        <f t="shared" ca="1" si="30"/>
        <v/>
      </c>
      <c r="CT40" s="13" t="str">
        <f t="shared" ca="1" si="30"/>
        <v/>
      </c>
      <c r="CU40" s="13" t="str">
        <f t="shared" ca="1" si="30"/>
        <v/>
      </c>
      <c r="CV40" s="13" t="str">
        <f t="shared" ca="1" si="30"/>
        <v/>
      </c>
      <c r="CW40" s="13" t="str">
        <f t="shared" ca="1" si="30"/>
        <v/>
      </c>
      <c r="CX40" s="13" t="str">
        <f t="shared" ca="1" si="30"/>
        <v/>
      </c>
      <c r="CY40" s="13" t="str">
        <f t="shared" ca="1" si="30"/>
        <v/>
      </c>
      <c r="CZ40" s="13" t="str">
        <f t="shared" ca="1" si="30"/>
        <v/>
      </c>
      <c r="DA40" s="13" t="str">
        <f t="shared" ca="1" si="30"/>
        <v/>
      </c>
      <c r="DB40" s="13" t="str">
        <f t="shared" ca="1" si="30"/>
        <v/>
      </c>
      <c r="DC40" s="13" t="str">
        <f t="shared" ca="1" si="30"/>
        <v/>
      </c>
      <c r="DD40" s="13" t="str">
        <f t="shared" ca="1" si="30"/>
        <v/>
      </c>
      <c r="DE40" s="13" t="str">
        <f t="shared" ca="1" si="30"/>
        <v/>
      </c>
      <c r="DF40" s="13" t="str">
        <f t="shared" ca="1" si="30"/>
        <v/>
      </c>
      <c r="DG40" s="13" t="str">
        <f t="shared" ca="1" si="30"/>
        <v/>
      </c>
      <c r="DH40" s="13" t="str">
        <f t="shared" ca="1" si="30"/>
        <v/>
      </c>
      <c r="DI40" s="13" t="str">
        <f t="shared" ca="1" si="30"/>
        <v/>
      </c>
      <c r="DJ40" s="13" t="str">
        <f t="shared" ca="1" si="30"/>
        <v/>
      </c>
      <c r="DK40" s="13" t="str">
        <f t="shared" ca="1" si="30"/>
        <v/>
      </c>
      <c r="DL40" s="13" t="str">
        <f t="shared" ca="1" si="30"/>
        <v/>
      </c>
      <c r="DM40" s="13" t="str">
        <f t="shared" ca="1" si="30"/>
        <v/>
      </c>
      <c r="DN40" s="13" t="str">
        <f t="shared" ca="1" si="30"/>
        <v/>
      </c>
      <c r="DO40" s="13" t="str">
        <f t="shared" ca="1" si="30"/>
        <v/>
      </c>
      <c r="DP40" s="13" t="str">
        <f t="shared" ca="1" si="30"/>
        <v/>
      </c>
      <c r="DQ40" s="13" t="str">
        <f t="shared" ca="1" si="30"/>
        <v/>
      </c>
      <c r="DR40" s="13" t="str">
        <f t="shared" ca="1" si="30"/>
        <v/>
      </c>
      <c r="DS40" s="13" t="str">
        <f t="shared" ca="1" si="30"/>
        <v/>
      </c>
      <c r="DT40" s="13" t="str">
        <f t="shared" ca="1" si="30"/>
        <v/>
      </c>
      <c r="DU40" s="13" t="str">
        <f t="shared" ca="1" si="30"/>
        <v/>
      </c>
      <c r="DV40" s="13" t="str">
        <f t="shared" ca="1" si="30"/>
        <v/>
      </c>
      <c r="DW40" s="13" t="str">
        <f t="shared" ca="1" si="30"/>
        <v/>
      </c>
      <c r="DX40" s="13" t="str">
        <f t="shared" ca="1" si="30"/>
        <v/>
      </c>
      <c r="DY40" s="13" t="str">
        <f t="shared" ca="1" si="30"/>
        <v/>
      </c>
      <c r="DZ40" s="13" t="str">
        <f t="shared" ca="1" si="30"/>
        <v/>
      </c>
      <c r="EA40" s="13" t="str">
        <f t="shared" ca="1" si="30"/>
        <v/>
      </c>
      <c r="EB40" s="13" t="str">
        <f t="shared" ca="1" si="30"/>
        <v/>
      </c>
      <c r="EC40" s="13" t="str">
        <f t="shared" ca="1" si="30"/>
        <v/>
      </c>
      <c r="ED40" s="13" t="str">
        <f t="shared" ca="1" si="30"/>
        <v/>
      </c>
      <c r="EE40" s="13" t="str">
        <f t="shared" ca="1" si="30"/>
        <v/>
      </c>
      <c r="EF40" s="13" t="str">
        <f t="shared" ca="1" si="30"/>
        <v/>
      </c>
      <c r="EG40" s="13" t="str">
        <f t="shared" ca="1" si="30"/>
        <v/>
      </c>
      <c r="EH40" s="13" t="str">
        <f t="shared" ca="1" si="30"/>
        <v/>
      </c>
      <c r="EI40" s="13" t="str">
        <f t="shared" ca="1" si="30"/>
        <v/>
      </c>
      <c r="EJ40" s="13" t="str">
        <f t="shared" ca="1" si="30"/>
        <v/>
      </c>
    </row>
    <row r="41" spans="1:140" s="1" customFormat="1" ht="40.15" customHeight="1" x14ac:dyDescent="0.25">
      <c r="A41" s="4"/>
      <c r="B41" s="46" t="s">
        <v>38</v>
      </c>
      <c r="C41" s="47"/>
      <c r="D41" s="47"/>
      <c r="E41" s="48"/>
      <c r="F41" s="49"/>
      <c r="G41" s="50"/>
      <c r="H41" s="51"/>
      <c r="I41" s="13" t="str">
        <f t="shared" ca="1" si="24"/>
        <v/>
      </c>
      <c r="J41" s="13" t="str">
        <f t="shared" ca="1" si="24"/>
        <v/>
      </c>
      <c r="K41" s="13" t="str">
        <f t="shared" ca="1" si="24"/>
        <v/>
      </c>
      <c r="L41" s="13" t="str">
        <f t="shared" ca="1" si="24"/>
        <v/>
      </c>
      <c r="M41" s="13" t="str">
        <f t="shared" ca="1" si="24"/>
        <v/>
      </c>
      <c r="N41" s="13" t="str">
        <f t="shared" ca="1" si="24"/>
        <v/>
      </c>
      <c r="O41" s="13" t="str">
        <f t="shared" ca="1" si="24"/>
        <v/>
      </c>
      <c r="P41" s="13" t="str">
        <f t="shared" ca="1" si="24"/>
        <v/>
      </c>
      <c r="Q41" s="13" t="str">
        <f t="shared" ca="1" si="24"/>
        <v/>
      </c>
      <c r="R41" s="13" t="str">
        <f t="shared" ca="1" si="24"/>
        <v/>
      </c>
      <c r="S41" s="13" t="str">
        <f t="shared" ca="1" si="24"/>
        <v/>
      </c>
      <c r="T41" s="13" t="str">
        <f t="shared" ca="1" si="24"/>
        <v/>
      </c>
      <c r="U41" s="13" t="str">
        <f t="shared" ca="1" si="24"/>
        <v/>
      </c>
      <c r="V41" s="13" t="str">
        <f t="shared" ca="1" si="24"/>
        <v/>
      </c>
      <c r="W41" s="13" t="str">
        <f t="shared" ca="1" si="24"/>
        <v/>
      </c>
      <c r="X41" s="13" t="str">
        <f t="shared" ca="1" si="24"/>
        <v/>
      </c>
      <c r="Y41" s="13" t="str">
        <f t="shared" ca="1" si="25"/>
        <v/>
      </c>
      <c r="Z41" s="13" t="str">
        <f t="shared" ca="1" si="25"/>
        <v/>
      </c>
      <c r="AA41" s="13" t="str">
        <f t="shared" ca="1" si="25"/>
        <v/>
      </c>
      <c r="AB41" s="13" t="str">
        <f t="shared" ca="1" si="25"/>
        <v/>
      </c>
      <c r="AC41" s="13" t="str">
        <f t="shared" ca="1" si="25"/>
        <v/>
      </c>
      <c r="AD41" s="13" t="str">
        <f t="shared" ca="1" si="25"/>
        <v/>
      </c>
      <c r="AE41" s="13" t="str">
        <f t="shared" ca="1" si="25"/>
        <v/>
      </c>
      <c r="AF41" s="13" t="str">
        <f t="shared" ca="1" si="25"/>
        <v/>
      </c>
      <c r="AG41" s="13" t="str">
        <f t="shared" ca="1" si="25"/>
        <v/>
      </c>
      <c r="AH41" s="13" t="str">
        <f t="shared" ca="1" si="25"/>
        <v/>
      </c>
      <c r="AI41" s="13" t="str">
        <f t="shared" ca="1" si="25"/>
        <v/>
      </c>
      <c r="AJ41" s="13" t="str">
        <f t="shared" ca="1" si="25"/>
        <v/>
      </c>
      <c r="AK41" s="13" t="str">
        <f t="shared" ca="1" si="25"/>
        <v/>
      </c>
      <c r="AL41" s="13" t="str">
        <f t="shared" ca="1" si="25"/>
        <v/>
      </c>
      <c r="AM41" s="13" t="str">
        <f t="shared" ca="1" si="25"/>
        <v/>
      </c>
      <c r="AN41" s="13" t="str">
        <f t="shared" ca="1" si="25"/>
        <v/>
      </c>
      <c r="AO41" s="13" t="str">
        <f t="shared" ca="1" si="26"/>
        <v/>
      </c>
      <c r="AP41" s="13" t="str">
        <f t="shared" ca="1" si="26"/>
        <v/>
      </c>
      <c r="AQ41" s="13" t="str">
        <f t="shared" ca="1" si="26"/>
        <v/>
      </c>
      <c r="AR41" s="13" t="str">
        <f t="shared" ca="1" si="26"/>
        <v/>
      </c>
      <c r="AS41" s="13" t="str">
        <f t="shared" ca="1" si="26"/>
        <v/>
      </c>
      <c r="AT41" s="13" t="str">
        <f t="shared" ca="1" si="26"/>
        <v/>
      </c>
      <c r="AU41" s="13" t="str">
        <f t="shared" ca="1" si="26"/>
        <v/>
      </c>
      <c r="AV41" s="13" t="str">
        <f t="shared" ca="1" si="26"/>
        <v/>
      </c>
      <c r="AW41" s="13" t="str">
        <f t="shared" ca="1" si="26"/>
        <v/>
      </c>
      <c r="AX41" s="13" t="str">
        <f t="shared" ca="1" si="26"/>
        <v/>
      </c>
      <c r="AY41" s="13" t="str">
        <f t="shared" ca="1" si="26"/>
        <v/>
      </c>
      <c r="AZ41" s="13" t="str">
        <f t="shared" ca="1" si="26"/>
        <v/>
      </c>
      <c r="BA41" s="13" t="str">
        <f t="shared" ca="1" si="26"/>
        <v/>
      </c>
      <c r="BB41" s="13" t="str">
        <f t="shared" ca="1" si="26"/>
        <v/>
      </c>
      <c r="BC41" s="13" t="str">
        <f t="shared" ca="1" si="26"/>
        <v/>
      </c>
      <c r="BD41" s="13" t="str">
        <f t="shared" ca="1" si="27"/>
        <v/>
      </c>
      <c r="BE41" s="13" t="str">
        <f t="shared" ca="1" si="27"/>
        <v/>
      </c>
      <c r="BF41" s="13" t="str">
        <f t="shared" ca="1" si="27"/>
        <v/>
      </c>
      <c r="BG41" s="13" t="str">
        <f t="shared" ca="1" si="27"/>
        <v/>
      </c>
      <c r="BH41" s="13" t="str">
        <f t="shared" ca="1" si="27"/>
        <v/>
      </c>
      <c r="BI41" s="13" t="str">
        <f t="shared" ca="1" si="27"/>
        <v/>
      </c>
      <c r="BJ41" s="13" t="str">
        <f t="shared" ca="1" si="27"/>
        <v/>
      </c>
      <c r="BK41" s="13" t="str">
        <f t="shared" ca="1" si="27"/>
        <v/>
      </c>
      <c r="BL41" s="13" t="str">
        <f t="shared" ca="1" si="27"/>
        <v/>
      </c>
      <c r="BM41" s="13" t="str">
        <f t="shared" ca="1" si="27"/>
        <v/>
      </c>
      <c r="BN41" s="13" t="str">
        <f t="shared" ca="1" si="27"/>
        <v/>
      </c>
      <c r="BO41" s="13" t="str">
        <f t="shared" ca="1" si="27"/>
        <v/>
      </c>
      <c r="BP41" s="13" t="str">
        <f t="shared" ca="1" si="27"/>
        <v/>
      </c>
      <c r="BQ41" s="13" t="str">
        <f t="shared" ca="1" si="27"/>
        <v/>
      </c>
      <c r="BR41" s="13" t="str">
        <f t="shared" ca="1" si="27"/>
        <v/>
      </c>
      <c r="BS41" s="13" t="str">
        <f t="shared" ca="1" si="29"/>
        <v/>
      </c>
      <c r="BT41" s="13" t="str">
        <f t="shared" ca="1" si="29"/>
        <v/>
      </c>
      <c r="BU41" s="13" t="str">
        <f t="shared" ca="1" si="29"/>
        <v/>
      </c>
      <c r="BV41" s="13" t="str">
        <f t="shared" ca="1" si="29"/>
        <v/>
      </c>
      <c r="BW41" s="13" t="str">
        <f t="shared" ca="1" si="29"/>
        <v/>
      </c>
      <c r="BX41" s="13" t="str">
        <f t="shared" ca="1" si="29"/>
        <v/>
      </c>
      <c r="BY41" s="13" t="str">
        <f t="shared" ca="1" si="29"/>
        <v/>
      </c>
      <c r="BZ41" s="13" t="str">
        <f t="shared" ca="1" si="29"/>
        <v/>
      </c>
      <c r="CA41" s="13" t="str">
        <f t="shared" ca="1" si="29"/>
        <v/>
      </c>
      <c r="CB41" s="13" t="str">
        <f t="shared" ca="1" si="29"/>
        <v/>
      </c>
      <c r="CC41" s="13" t="str">
        <f t="shared" ca="1" si="29"/>
        <v/>
      </c>
      <c r="CD41" s="13" t="str">
        <f t="shared" ca="1" si="29"/>
        <v/>
      </c>
      <c r="CE41" s="13" t="str">
        <f t="shared" ca="1" si="29"/>
        <v/>
      </c>
      <c r="CF41" s="13" t="str">
        <f t="shared" ca="1" si="29"/>
        <v/>
      </c>
      <c r="CG41" s="13" t="str">
        <f t="shared" ca="1" si="29"/>
        <v/>
      </c>
      <c r="CH41" s="13" t="str">
        <f t="shared" ca="1" si="29"/>
        <v/>
      </c>
      <c r="CI41" s="13" t="str">
        <f t="shared" ca="1" si="29"/>
        <v/>
      </c>
      <c r="CJ41" s="13" t="str">
        <f t="shared" ca="1" si="29"/>
        <v/>
      </c>
      <c r="CK41" s="13" t="str">
        <f t="shared" ca="1" si="29"/>
        <v/>
      </c>
      <c r="CL41" s="13" t="str">
        <f t="shared" ca="1" si="29"/>
        <v/>
      </c>
      <c r="CM41" s="13" t="str">
        <f t="shared" ca="1" si="30"/>
        <v/>
      </c>
      <c r="CN41" s="13" t="str">
        <f t="shared" ca="1" si="30"/>
        <v/>
      </c>
      <c r="CO41" s="13" t="str">
        <f t="shared" ca="1" si="30"/>
        <v/>
      </c>
      <c r="CP41" s="13" t="str">
        <f t="shared" ca="1" si="30"/>
        <v/>
      </c>
      <c r="CQ41" s="13" t="str">
        <f t="shared" ca="1" si="30"/>
        <v/>
      </c>
      <c r="CR41" s="13" t="str">
        <f t="shared" ca="1" si="30"/>
        <v/>
      </c>
      <c r="CS41" s="13" t="str">
        <f t="shared" ca="1" si="30"/>
        <v/>
      </c>
      <c r="CT41" s="13" t="str">
        <f t="shared" ca="1" si="30"/>
        <v/>
      </c>
      <c r="CU41" s="13" t="str">
        <f t="shared" ca="1" si="30"/>
        <v/>
      </c>
      <c r="CV41" s="13" t="str">
        <f t="shared" ca="1" si="30"/>
        <v/>
      </c>
      <c r="CW41" s="13" t="str">
        <f t="shared" ca="1" si="30"/>
        <v/>
      </c>
      <c r="CX41" s="13" t="str">
        <f t="shared" ca="1" si="30"/>
        <v/>
      </c>
      <c r="CY41" s="13" t="str">
        <f t="shared" ca="1" si="30"/>
        <v/>
      </c>
      <c r="CZ41" s="13" t="str">
        <f t="shared" ca="1" si="30"/>
        <v/>
      </c>
      <c r="DA41" s="13" t="str">
        <f t="shared" ca="1" si="30"/>
        <v/>
      </c>
      <c r="DB41" s="13" t="str">
        <f t="shared" ca="1" si="30"/>
        <v/>
      </c>
      <c r="DC41" s="13" t="str">
        <f t="shared" ca="1" si="30"/>
        <v/>
      </c>
      <c r="DD41" s="13" t="str">
        <f t="shared" ca="1" si="30"/>
        <v/>
      </c>
      <c r="DE41" s="13" t="str">
        <f t="shared" ca="1" si="30"/>
        <v/>
      </c>
      <c r="DF41" s="13" t="str">
        <f t="shared" ca="1" si="30"/>
        <v/>
      </c>
      <c r="DG41" s="13" t="str">
        <f t="shared" ca="1" si="30"/>
        <v/>
      </c>
      <c r="DH41" s="13" t="str">
        <f t="shared" ca="1" si="30"/>
        <v/>
      </c>
      <c r="DI41" s="13" t="str">
        <f t="shared" ca="1" si="30"/>
        <v/>
      </c>
      <c r="DJ41" s="13" t="str">
        <f t="shared" ca="1" si="30"/>
        <v/>
      </c>
      <c r="DK41" s="13" t="str">
        <f t="shared" ca="1" si="30"/>
        <v/>
      </c>
      <c r="DL41" s="13" t="str">
        <f t="shared" ca="1" si="30"/>
        <v/>
      </c>
      <c r="DM41" s="13" t="str">
        <f t="shared" ca="1" si="30"/>
        <v/>
      </c>
      <c r="DN41" s="13" t="str">
        <f t="shared" ca="1" si="30"/>
        <v/>
      </c>
      <c r="DO41" s="13" t="str">
        <f t="shared" ca="1" si="30"/>
        <v/>
      </c>
      <c r="DP41" s="13" t="str">
        <f t="shared" ca="1" si="30"/>
        <v/>
      </c>
      <c r="DQ41" s="13" t="str">
        <f t="shared" ref="CM41:EJ46" ca="1" si="31">IF(AND($C41="目標",DQ$7&gt;=$F41,DQ$7&lt;=$F41+$G41-1),2,IF(AND($C41="マイルストーン",DQ$7&gt;=$F41,DQ$7&lt;=$F41+$G41-1),1,""))</f>
        <v/>
      </c>
      <c r="DR41" s="13" t="str">
        <f t="shared" ca="1" si="31"/>
        <v/>
      </c>
      <c r="DS41" s="13" t="str">
        <f t="shared" ca="1" si="31"/>
        <v/>
      </c>
      <c r="DT41" s="13" t="str">
        <f t="shared" ca="1" si="31"/>
        <v/>
      </c>
      <c r="DU41" s="13" t="str">
        <f t="shared" ca="1" si="31"/>
        <v/>
      </c>
      <c r="DV41" s="13" t="str">
        <f t="shared" ca="1" si="31"/>
        <v/>
      </c>
      <c r="DW41" s="13" t="str">
        <f t="shared" ca="1" si="31"/>
        <v/>
      </c>
      <c r="DX41" s="13" t="str">
        <f t="shared" ca="1" si="31"/>
        <v/>
      </c>
      <c r="DY41" s="13" t="str">
        <f t="shared" ca="1" si="31"/>
        <v/>
      </c>
      <c r="DZ41" s="13" t="str">
        <f t="shared" ca="1" si="31"/>
        <v/>
      </c>
      <c r="EA41" s="13" t="str">
        <f t="shared" ca="1" si="31"/>
        <v/>
      </c>
      <c r="EB41" s="13" t="str">
        <f t="shared" ca="1" si="31"/>
        <v/>
      </c>
      <c r="EC41" s="13" t="str">
        <f t="shared" ca="1" si="31"/>
        <v/>
      </c>
      <c r="ED41" s="13" t="str">
        <f t="shared" ca="1" si="31"/>
        <v/>
      </c>
      <c r="EE41" s="13" t="str">
        <f t="shared" ca="1" si="31"/>
        <v/>
      </c>
      <c r="EF41" s="13" t="str">
        <f t="shared" ca="1" si="31"/>
        <v/>
      </c>
      <c r="EG41" s="13" t="str">
        <f t="shared" ca="1" si="31"/>
        <v/>
      </c>
      <c r="EH41" s="13" t="str">
        <f t="shared" ca="1" si="31"/>
        <v/>
      </c>
      <c r="EI41" s="13" t="str">
        <f t="shared" ca="1" si="31"/>
        <v/>
      </c>
      <c r="EJ41" s="13" t="str">
        <f t="shared" ca="1" si="31"/>
        <v/>
      </c>
    </row>
    <row r="42" spans="1:140" s="1" customFormat="1" ht="40.15" customHeight="1" x14ac:dyDescent="0.25">
      <c r="A42" s="4"/>
      <c r="B42" s="52" t="s">
        <v>19</v>
      </c>
      <c r="C42" s="47" t="s">
        <v>6</v>
      </c>
      <c r="D42" s="71"/>
      <c r="E42" s="48"/>
      <c r="F42" s="49">
        <f>F39+21</f>
        <v>44416</v>
      </c>
      <c r="G42" s="50">
        <v>1</v>
      </c>
      <c r="H42" s="51"/>
      <c r="I42" s="13" t="str">
        <f t="shared" ca="1" si="24"/>
        <v/>
      </c>
      <c r="J42" s="13" t="str">
        <f t="shared" ca="1" si="24"/>
        <v/>
      </c>
      <c r="K42" s="13" t="str">
        <f t="shared" ca="1" si="24"/>
        <v/>
      </c>
      <c r="L42" s="13" t="str">
        <f t="shared" ca="1" si="24"/>
        <v/>
      </c>
      <c r="M42" s="13" t="str">
        <f t="shared" ca="1" si="24"/>
        <v/>
      </c>
      <c r="N42" s="13" t="str">
        <f t="shared" ca="1" si="24"/>
        <v/>
      </c>
      <c r="O42" s="13" t="str">
        <f t="shared" ca="1" si="24"/>
        <v/>
      </c>
      <c r="P42" s="13" t="str">
        <f t="shared" ca="1" si="24"/>
        <v/>
      </c>
      <c r="Q42" s="13" t="str">
        <f t="shared" ca="1" si="24"/>
        <v/>
      </c>
      <c r="R42" s="13" t="str">
        <f t="shared" ca="1" si="24"/>
        <v/>
      </c>
      <c r="S42" s="13" t="str">
        <f t="shared" ca="1" si="24"/>
        <v/>
      </c>
      <c r="T42" s="13" t="str">
        <f t="shared" ca="1" si="24"/>
        <v/>
      </c>
      <c r="U42" s="13" t="str">
        <f t="shared" ca="1" si="24"/>
        <v/>
      </c>
      <c r="V42" s="13" t="str">
        <f t="shared" ca="1" si="24"/>
        <v/>
      </c>
      <c r="W42" s="13" t="str">
        <f t="shared" ca="1" si="24"/>
        <v/>
      </c>
      <c r="X42" s="13" t="str">
        <f t="shared" ca="1" si="24"/>
        <v/>
      </c>
      <c r="Y42" s="13" t="str">
        <f t="shared" ca="1" si="25"/>
        <v/>
      </c>
      <c r="Z42" s="13" t="str">
        <f t="shared" ca="1" si="25"/>
        <v/>
      </c>
      <c r="AA42" s="13" t="str">
        <f t="shared" ca="1" si="25"/>
        <v/>
      </c>
      <c r="AB42" s="13" t="str">
        <f t="shared" ca="1" si="25"/>
        <v/>
      </c>
      <c r="AC42" s="13" t="str">
        <f t="shared" ca="1" si="25"/>
        <v/>
      </c>
      <c r="AD42" s="13" t="str">
        <f t="shared" ca="1" si="25"/>
        <v/>
      </c>
      <c r="AE42" s="13" t="str">
        <f t="shared" ca="1" si="25"/>
        <v/>
      </c>
      <c r="AF42" s="13" t="str">
        <f t="shared" ca="1" si="25"/>
        <v/>
      </c>
      <c r="AG42" s="13" t="str">
        <f t="shared" ca="1" si="25"/>
        <v/>
      </c>
      <c r="AH42" s="13" t="str">
        <f t="shared" ca="1" si="25"/>
        <v/>
      </c>
      <c r="AI42" s="13" t="str">
        <f t="shared" ca="1" si="25"/>
        <v/>
      </c>
      <c r="AJ42" s="13" t="str">
        <f t="shared" ca="1" si="25"/>
        <v/>
      </c>
      <c r="AK42" s="13" t="str">
        <f t="shared" ca="1" si="25"/>
        <v/>
      </c>
      <c r="AL42" s="13" t="str">
        <f t="shared" ca="1" si="25"/>
        <v/>
      </c>
      <c r="AM42" s="13" t="str">
        <f t="shared" ca="1" si="25"/>
        <v/>
      </c>
      <c r="AN42" s="13" t="str">
        <f t="shared" ca="1" si="25"/>
        <v/>
      </c>
      <c r="AO42" s="13" t="str">
        <f t="shared" ca="1" si="26"/>
        <v/>
      </c>
      <c r="AP42" s="13" t="str">
        <f t="shared" ca="1" si="26"/>
        <v/>
      </c>
      <c r="AQ42" s="13" t="str">
        <f t="shared" ca="1" si="26"/>
        <v/>
      </c>
      <c r="AR42" s="13" t="str">
        <f t="shared" ca="1" si="26"/>
        <v/>
      </c>
      <c r="AS42" s="13" t="str">
        <f t="shared" ca="1" si="26"/>
        <v/>
      </c>
      <c r="AT42" s="13" t="str">
        <f t="shared" ca="1" si="26"/>
        <v/>
      </c>
      <c r="AU42" s="13" t="str">
        <f t="shared" ca="1" si="26"/>
        <v/>
      </c>
      <c r="AV42" s="13" t="str">
        <f t="shared" ca="1" si="26"/>
        <v/>
      </c>
      <c r="AW42" s="13" t="str">
        <f t="shared" ca="1" si="26"/>
        <v/>
      </c>
      <c r="AX42" s="13" t="str">
        <f t="shared" ca="1" si="26"/>
        <v/>
      </c>
      <c r="AY42" s="13" t="str">
        <f t="shared" ca="1" si="26"/>
        <v/>
      </c>
      <c r="AZ42" s="13" t="str">
        <f t="shared" ca="1" si="26"/>
        <v/>
      </c>
      <c r="BA42" s="13" t="str">
        <f t="shared" ca="1" si="26"/>
        <v/>
      </c>
      <c r="BB42" s="13" t="str">
        <f t="shared" ca="1" si="26"/>
        <v/>
      </c>
      <c r="BC42" s="13" t="str">
        <f t="shared" ca="1" si="26"/>
        <v/>
      </c>
      <c r="BD42" s="13" t="str">
        <f t="shared" ca="1" si="27"/>
        <v/>
      </c>
      <c r="BE42" s="13" t="str">
        <f t="shared" ca="1" si="27"/>
        <v/>
      </c>
      <c r="BF42" s="13" t="str">
        <f t="shared" ca="1" si="27"/>
        <v/>
      </c>
      <c r="BG42" s="13" t="str">
        <f t="shared" ca="1" si="27"/>
        <v/>
      </c>
      <c r="BH42" s="13" t="str">
        <f t="shared" ca="1" si="27"/>
        <v/>
      </c>
      <c r="BI42" s="13" t="str">
        <f t="shared" ca="1" si="27"/>
        <v/>
      </c>
      <c r="BJ42" s="13" t="str">
        <f t="shared" ca="1" si="27"/>
        <v/>
      </c>
      <c r="BK42" s="13" t="str">
        <f t="shared" ca="1" si="27"/>
        <v/>
      </c>
      <c r="BL42" s="13" t="str">
        <f t="shared" ca="1" si="27"/>
        <v/>
      </c>
      <c r="BM42" s="13" t="str">
        <f t="shared" ca="1" si="27"/>
        <v/>
      </c>
      <c r="BN42" s="13" t="str">
        <f t="shared" ca="1" si="27"/>
        <v/>
      </c>
      <c r="BO42" s="13" t="str">
        <f t="shared" ca="1" si="27"/>
        <v/>
      </c>
      <c r="BP42" s="13" t="str">
        <f t="shared" ca="1" si="27"/>
        <v/>
      </c>
      <c r="BQ42" s="13" t="str">
        <f t="shared" ca="1" si="27"/>
        <v/>
      </c>
      <c r="BR42" s="13" t="str">
        <f t="shared" ca="1" si="27"/>
        <v/>
      </c>
      <c r="BS42" s="13" t="str">
        <f t="shared" ca="1" si="29"/>
        <v/>
      </c>
      <c r="BT42" s="13" t="str">
        <f t="shared" ca="1" si="29"/>
        <v/>
      </c>
      <c r="BU42" s="13" t="str">
        <f t="shared" ca="1" si="29"/>
        <v/>
      </c>
      <c r="BV42" s="13" t="str">
        <f t="shared" ca="1" si="29"/>
        <v/>
      </c>
      <c r="BW42" s="13" t="str">
        <f t="shared" ca="1" si="29"/>
        <v/>
      </c>
      <c r="BX42" s="13" t="str">
        <f t="shared" ca="1" si="29"/>
        <v/>
      </c>
      <c r="BY42" s="13" t="str">
        <f t="shared" ca="1" si="29"/>
        <v/>
      </c>
      <c r="BZ42" s="13" t="str">
        <f t="shared" ca="1" si="29"/>
        <v/>
      </c>
      <c r="CA42" s="13" t="str">
        <f t="shared" ca="1" si="29"/>
        <v/>
      </c>
      <c r="CB42" s="13" t="str">
        <f t="shared" ca="1" si="29"/>
        <v/>
      </c>
      <c r="CC42" s="13" t="str">
        <f t="shared" ca="1" si="29"/>
        <v/>
      </c>
      <c r="CD42" s="13" t="str">
        <f t="shared" ca="1" si="29"/>
        <v/>
      </c>
      <c r="CE42" s="13" t="str">
        <f t="shared" ca="1" si="29"/>
        <v/>
      </c>
      <c r="CF42" s="13" t="str">
        <f t="shared" ca="1" si="29"/>
        <v/>
      </c>
      <c r="CG42" s="13" t="str">
        <f t="shared" ca="1" si="29"/>
        <v/>
      </c>
      <c r="CH42" s="13">
        <f t="shared" ca="1" si="29"/>
        <v>1</v>
      </c>
      <c r="CI42" s="13" t="str">
        <f t="shared" ca="1" si="29"/>
        <v/>
      </c>
      <c r="CJ42" s="13" t="str">
        <f t="shared" ca="1" si="29"/>
        <v/>
      </c>
      <c r="CK42" s="13" t="str">
        <f t="shared" ca="1" si="29"/>
        <v/>
      </c>
      <c r="CL42" s="13" t="str">
        <f t="shared" ca="1" si="29"/>
        <v/>
      </c>
      <c r="CM42" s="13" t="str">
        <f t="shared" ca="1" si="31"/>
        <v/>
      </c>
      <c r="CN42" s="13" t="str">
        <f t="shared" ca="1" si="31"/>
        <v/>
      </c>
      <c r="CO42" s="13" t="str">
        <f t="shared" ca="1" si="31"/>
        <v/>
      </c>
      <c r="CP42" s="13" t="str">
        <f t="shared" ca="1" si="31"/>
        <v/>
      </c>
      <c r="CQ42" s="13" t="str">
        <f t="shared" ca="1" si="31"/>
        <v/>
      </c>
      <c r="CR42" s="13" t="str">
        <f t="shared" ca="1" si="31"/>
        <v/>
      </c>
      <c r="CS42" s="13" t="str">
        <f t="shared" ca="1" si="31"/>
        <v/>
      </c>
      <c r="CT42" s="13" t="str">
        <f t="shared" ca="1" si="31"/>
        <v/>
      </c>
      <c r="CU42" s="13" t="str">
        <f t="shared" ca="1" si="31"/>
        <v/>
      </c>
      <c r="CV42" s="13" t="str">
        <f t="shared" ca="1" si="31"/>
        <v/>
      </c>
      <c r="CW42" s="13" t="str">
        <f t="shared" ca="1" si="31"/>
        <v/>
      </c>
      <c r="CX42" s="13" t="str">
        <f t="shared" ca="1" si="31"/>
        <v/>
      </c>
      <c r="CY42" s="13" t="str">
        <f t="shared" ca="1" si="31"/>
        <v/>
      </c>
      <c r="CZ42" s="13" t="str">
        <f t="shared" ca="1" si="31"/>
        <v/>
      </c>
      <c r="DA42" s="13" t="str">
        <f t="shared" ca="1" si="31"/>
        <v/>
      </c>
      <c r="DB42" s="13" t="str">
        <f t="shared" ca="1" si="31"/>
        <v/>
      </c>
      <c r="DC42" s="13" t="str">
        <f t="shared" ca="1" si="31"/>
        <v/>
      </c>
      <c r="DD42" s="13" t="str">
        <f t="shared" ca="1" si="31"/>
        <v/>
      </c>
      <c r="DE42" s="13" t="str">
        <f t="shared" ca="1" si="31"/>
        <v/>
      </c>
      <c r="DF42" s="13" t="str">
        <f t="shared" ca="1" si="31"/>
        <v/>
      </c>
      <c r="DG42" s="13" t="str">
        <f t="shared" ca="1" si="31"/>
        <v/>
      </c>
      <c r="DH42" s="13" t="str">
        <f t="shared" ca="1" si="31"/>
        <v/>
      </c>
      <c r="DI42" s="13" t="str">
        <f t="shared" ca="1" si="31"/>
        <v/>
      </c>
      <c r="DJ42" s="13" t="str">
        <f t="shared" ca="1" si="31"/>
        <v/>
      </c>
      <c r="DK42" s="13" t="str">
        <f t="shared" ca="1" si="31"/>
        <v/>
      </c>
      <c r="DL42" s="13" t="str">
        <f t="shared" ca="1" si="31"/>
        <v/>
      </c>
      <c r="DM42" s="13" t="str">
        <f t="shared" ca="1" si="31"/>
        <v/>
      </c>
      <c r="DN42" s="13" t="str">
        <f t="shared" ca="1" si="31"/>
        <v/>
      </c>
      <c r="DO42" s="13" t="str">
        <f t="shared" ca="1" si="31"/>
        <v/>
      </c>
      <c r="DP42" s="13" t="str">
        <f t="shared" ca="1" si="31"/>
        <v/>
      </c>
      <c r="DQ42" s="13" t="str">
        <f t="shared" ca="1" si="31"/>
        <v/>
      </c>
      <c r="DR42" s="13" t="str">
        <f t="shared" ca="1" si="31"/>
        <v/>
      </c>
      <c r="DS42" s="13" t="str">
        <f t="shared" ca="1" si="31"/>
        <v/>
      </c>
      <c r="DT42" s="13" t="str">
        <f t="shared" ca="1" si="31"/>
        <v/>
      </c>
      <c r="DU42" s="13" t="str">
        <f t="shared" ca="1" si="31"/>
        <v/>
      </c>
      <c r="DV42" s="13" t="str">
        <f t="shared" ca="1" si="31"/>
        <v/>
      </c>
      <c r="DW42" s="13" t="str">
        <f t="shared" ca="1" si="31"/>
        <v/>
      </c>
      <c r="DX42" s="13" t="str">
        <f t="shared" ca="1" si="31"/>
        <v/>
      </c>
      <c r="DY42" s="13" t="str">
        <f t="shared" ca="1" si="31"/>
        <v/>
      </c>
      <c r="DZ42" s="13" t="str">
        <f t="shared" ca="1" si="31"/>
        <v/>
      </c>
      <c r="EA42" s="13" t="str">
        <f t="shared" ca="1" si="31"/>
        <v/>
      </c>
      <c r="EB42" s="13" t="str">
        <f t="shared" ca="1" si="31"/>
        <v/>
      </c>
      <c r="EC42" s="13" t="str">
        <f t="shared" ca="1" si="31"/>
        <v/>
      </c>
      <c r="ED42" s="13" t="str">
        <f t="shared" ca="1" si="31"/>
        <v/>
      </c>
      <c r="EE42" s="13" t="str">
        <f t="shared" ca="1" si="31"/>
        <v/>
      </c>
      <c r="EF42" s="13" t="str">
        <f t="shared" ca="1" si="31"/>
        <v/>
      </c>
      <c r="EG42" s="13" t="str">
        <f t="shared" ca="1" si="31"/>
        <v/>
      </c>
      <c r="EH42" s="13" t="str">
        <f t="shared" ca="1" si="31"/>
        <v/>
      </c>
      <c r="EI42" s="13" t="str">
        <f t="shared" ca="1" si="31"/>
        <v/>
      </c>
      <c r="EJ42" s="13" t="str">
        <f t="shared" ca="1" si="31"/>
        <v/>
      </c>
    </row>
    <row r="43" spans="1:140" s="1" customFormat="1" ht="40.15" customHeight="1" x14ac:dyDescent="0.25">
      <c r="A43" s="4"/>
      <c r="B43" s="52" t="s">
        <v>20</v>
      </c>
      <c r="C43" s="47" t="s">
        <v>10</v>
      </c>
      <c r="D43" s="47"/>
      <c r="E43" s="48">
        <v>0</v>
      </c>
      <c r="F43" s="49">
        <f>F39+1</f>
        <v>44396</v>
      </c>
      <c r="G43" s="50">
        <v>21</v>
      </c>
      <c r="H43" s="51"/>
      <c r="I43" s="13" t="str">
        <f t="shared" ca="1" si="24"/>
        <v/>
      </c>
      <c r="J43" s="13" t="str">
        <f t="shared" ca="1" si="24"/>
        <v/>
      </c>
      <c r="K43" s="13" t="str">
        <f t="shared" ca="1" si="24"/>
        <v/>
      </c>
      <c r="L43" s="13" t="str">
        <f t="shared" ca="1" si="24"/>
        <v/>
      </c>
      <c r="M43" s="13" t="str">
        <f t="shared" ca="1" si="24"/>
        <v/>
      </c>
      <c r="N43" s="13" t="str">
        <f t="shared" ca="1" si="24"/>
        <v/>
      </c>
      <c r="O43" s="13" t="str">
        <f t="shared" ca="1" si="24"/>
        <v/>
      </c>
      <c r="P43" s="13" t="str">
        <f t="shared" ca="1" si="24"/>
        <v/>
      </c>
      <c r="Q43" s="13" t="str">
        <f t="shared" ca="1" si="24"/>
        <v/>
      </c>
      <c r="R43" s="13" t="str">
        <f t="shared" ca="1" si="24"/>
        <v/>
      </c>
      <c r="S43" s="13" t="str">
        <f t="shared" ca="1" si="24"/>
        <v/>
      </c>
      <c r="T43" s="13" t="str">
        <f t="shared" ca="1" si="24"/>
        <v/>
      </c>
      <c r="U43" s="13" t="str">
        <f t="shared" ca="1" si="24"/>
        <v/>
      </c>
      <c r="V43" s="13" t="str">
        <f t="shared" ca="1" si="24"/>
        <v/>
      </c>
      <c r="W43" s="13" t="str">
        <f t="shared" ca="1" si="24"/>
        <v/>
      </c>
      <c r="X43" s="13" t="str">
        <f t="shared" ca="1" si="24"/>
        <v/>
      </c>
      <c r="Y43" s="13" t="str">
        <f t="shared" ca="1" si="25"/>
        <v/>
      </c>
      <c r="Z43" s="13" t="str">
        <f t="shared" ca="1" si="25"/>
        <v/>
      </c>
      <c r="AA43" s="13" t="str">
        <f t="shared" ca="1" si="25"/>
        <v/>
      </c>
      <c r="AB43" s="13" t="str">
        <f t="shared" ca="1" si="25"/>
        <v/>
      </c>
      <c r="AC43" s="13" t="str">
        <f t="shared" ca="1" si="25"/>
        <v/>
      </c>
      <c r="AD43" s="13" t="str">
        <f t="shared" ca="1" si="25"/>
        <v/>
      </c>
      <c r="AE43" s="13" t="str">
        <f t="shared" ca="1" si="25"/>
        <v/>
      </c>
      <c r="AF43" s="13" t="str">
        <f t="shared" ca="1" si="25"/>
        <v/>
      </c>
      <c r="AG43" s="13" t="str">
        <f t="shared" ca="1" si="25"/>
        <v/>
      </c>
      <c r="AH43" s="13" t="str">
        <f t="shared" ca="1" si="25"/>
        <v/>
      </c>
      <c r="AI43" s="13" t="str">
        <f t="shared" ca="1" si="25"/>
        <v/>
      </c>
      <c r="AJ43" s="13" t="str">
        <f t="shared" ca="1" si="25"/>
        <v/>
      </c>
      <c r="AK43" s="13" t="str">
        <f t="shared" ca="1" si="25"/>
        <v/>
      </c>
      <c r="AL43" s="13" t="str">
        <f t="shared" ca="1" si="25"/>
        <v/>
      </c>
      <c r="AM43" s="13" t="str">
        <f t="shared" ca="1" si="25"/>
        <v/>
      </c>
      <c r="AN43" s="13" t="str">
        <f t="shared" ca="1" si="25"/>
        <v/>
      </c>
      <c r="AO43" s="13" t="str">
        <f t="shared" ca="1" si="26"/>
        <v/>
      </c>
      <c r="AP43" s="13" t="str">
        <f t="shared" ca="1" si="26"/>
        <v/>
      </c>
      <c r="AQ43" s="13" t="str">
        <f t="shared" ca="1" si="26"/>
        <v/>
      </c>
      <c r="AR43" s="13" t="str">
        <f t="shared" ca="1" si="26"/>
        <v/>
      </c>
      <c r="AS43" s="13" t="str">
        <f t="shared" ca="1" si="26"/>
        <v/>
      </c>
      <c r="AT43" s="13" t="str">
        <f t="shared" ca="1" si="26"/>
        <v/>
      </c>
      <c r="AU43" s="13" t="str">
        <f t="shared" ca="1" si="26"/>
        <v/>
      </c>
      <c r="AV43" s="13" t="str">
        <f t="shared" ca="1" si="26"/>
        <v/>
      </c>
      <c r="AW43" s="13" t="str">
        <f t="shared" ca="1" si="26"/>
        <v/>
      </c>
      <c r="AX43" s="13" t="str">
        <f t="shared" ca="1" si="26"/>
        <v/>
      </c>
      <c r="AY43" s="13" t="str">
        <f t="shared" ca="1" si="26"/>
        <v/>
      </c>
      <c r="AZ43" s="13" t="str">
        <f t="shared" ca="1" si="26"/>
        <v/>
      </c>
      <c r="BA43" s="13" t="str">
        <f t="shared" ca="1" si="26"/>
        <v/>
      </c>
      <c r="BB43" s="13" t="str">
        <f t="shared" ca="1" si="26"/>
        <v/>
      </c>
      <c r="BC43" s="13" t="str">
        <f t="shared" ca="1" si="26"/>
        <v/>
      </c>
      <c r="BD43" s="13" t="str">
        <f t="shared" ca="1" si="27"/>
        <v/>
      </c>
      <c r="BE43" s="13" t="str">
        <f t="shared" ca="1" si="27"/>
        <v/>
      </c>
      <c r="BF43" s="13" t="str">
        <f t="shared" ca="1" si="27"/>
        <v/>
      </c>
      <c r="BG43" s="13" t="str">
        <f t="shared" ca="1" si="27"/>
        <v/>
      </c>
      <c r="BH43" s="13" t="str">
        <f t="shared" ca="1" si="27"/>
        <v/>
      </c>
      <c r="BI43" s="13" t="str">
        <f t="shared" ca="1" si="27"/>
        <v/>
      </c>
      <c r="BJ43" s="13" t="str">
        <f t="shared" ca="1" si="27"/>
        <v/>
      </c>
      <c r="BK43" s="13" t="str">
        <f t="shared" ca="1" si="27"/>
        <v/>
      </c>
      <c r="BL43" s="13" t="str">
        <f t="shared" ca="1" si="27"/>
        <v/>
      </c>
      <c r="BM43" s="13" t="str">
        <f t="shared" ca="1" si="27"/>
        <v/>
      </c>
      <c r="BN43" s="13" t="str">
        <f t="shared" ca="1" si="27"/>
        <v/>
      </c>
      <c r="BO43" s="13" t="str">
        <f t="shared" ca="1" si="27"/>
        <v/>
      </c>
      <c r="BP43" s="13" t="str">
        <f t="shared" ca="1" si="27"/>
        <v/>
      </c>
      <c r="BQ43" s="13" t="str">
        <f t="shared" ca="1" si="27"/>
        <v/>
      </c>
      <c r="BR43" s="13" t="str">
        <f t="shared" ca="1" si="27"/>
        <v/>
      </c>
      <c r="BS43" s="13" t="str">
        <f t="shared" ca="1" si="29"/>
        <v/>
      </c>
      <c r="BT43" s="13" t="str">
        <f t="shared" ca="1" si="29"/>
        <v/>
      </c>
      <c r="BU43" s="13" t="str">
        <f t="shared" ca="1" si="29"/>
        <v/>
      </c>
      <c r="BV43" s="13" t="str">
        <f t="shared" ca="1" si="29"/>
        <v/>
      </c>
      <c r="BW43" s="13" t="str">
        <f t="shared" ca="1" si="29"/>
        <v/>
      </c>
      <c r="BX43" s="13" t="str">
        <f t="shared" ca="1" si="29"/>
        <v/>
      </c>
      <c r="BY43" s="13" t="str">
        <f t="shared" ca="1" si="29"/>
        <v/>
      </c>
      <c r="BZ43" s="13" t="str">
        <f t="shared" ca="1" si="29"/>
        <v/>
      </c>
      <c r="CA43" s="13" t="str">
        <f t="shared" ca="1" si="29"/>
        <v/>
      </c>
      <c r="CB43" s="13" t="str">
        <f t="shared" ca="1" si="29"/>
        <v/>
      </c>
      <c r="CC43" s="13" t="str">
        <f t="shared" ca="1" si="29"/>
        <v/>
      </c>
      <c r="CD43" s="13" t="str">
        <f t="shared" ca="1" si="29"/>
        <v/>
      </c>
      <c r="CE43" s="13" t="str">
        <f t="shared" ca="1" si="29"/>
        <v/>
      </c>
      <c r="CF43" s="13" t="str">
        <f t="shared" ca="1" si="29"/>
        <v/>
      </c>
      <c r="CG43" s="13" t="str">
        <f t="shared" ca="1" si="29"/>
        <v/>
      </c>
      <c r="CH43" s="13" t="str">
        <f t="shared" ca="1" si="29"/>
        <v/>
      </c>
      <c r="CI43" s="13" t="str">
        <f t="shared" ca="1" si="29"/>
        <v/>
      </c>
      <c r="CJ43" s="13" t="str">
        <f t="shared" ca="1" si="29"/>
        <v/>
      </c>
      <c r="CK43" s="13" t="str">
        <f t="shared" ca="1" si="29"/>
        <v/>
      </c>
      <c r="CL43" s="13" t="str">
        <f t="shared" ca="1" si="29"/>
        <v/>
      </c>
      <c r="CM43" s="13" t="str">
        <f t="shared" ca="1" si="31"/>
        <v/>
      </c>
      <c r="CN43" s="13" t="str">
        <f t="shared" ca="1" si="31"/>
        <v/>
      </c>
      <c r="CO43" s="13" t="str">
        <f t="shared" ca="1" si="31"/>
        <v/>
      </c>
      <c r="CP43" s="13" t="str">
        <f t="shared" ca="1" si="31"/>
        <v/>
      </c>
      <c r="CQ43" s="13" t="str">
        <f t="shared" ca="1" si="31"/>
        <v/>
      </c>
      <c r="CR43" s="13" t="str">
        <f t="shared" ca="1" si="31"/>
        <v/>
      </c>
      <c r="CS43" s="13" t="str">
        <f t="shared" ca="1" si="31"/>
        <v/>
      </c>
      <c r="CT43" s="13" t="str">
        <f t="shared" ca="1" si="31"/>
        <v/>
      </c>
      <c r="CU43" s="13" t="str">
        <f t="shared" ca="1" si="31"/>
        <v/>
      </c>
      <c r="CV43" s="13" t="str">
        <f t="shared" ca="1" si="31"/>
        <v/>
      </c>
      <c r="CW43" s="13" t="str">
        <f t="shared" ca="1" si="31"/>
        <v/>
      </c>
      <c r="CX43" s="13" t="str">
        <f t="shared" ca="1" si="31"/>
        <v/>
      </c>
      <c r="CY43" s="13" t="str">
        <f t="shared" ca="1" si="31"/>
        <v/>
      </c>
      <c r="CZ43" s="13" t="str">
        <f t="shared" ca="1" si="31"/>
        <v/>
      </c>
      <c r="DA43" s="13" t="str">
        <f t="shared" ca="1" si="31"/>
        <v/>
      </c>
      <c r="DB43" s="13" t="str">
        <f t="shared" ca="1" si="31"/>
        <v/>
      </c>
      <c r="DC43" s="13" t="str">
        <f t="shared" ca="1" si="31"/>
        <v/>
      </c>
      <c r="DD43" s="13" t="str">
        <f t="shared" ca="1" si="31"/>
        <v/>
      </c>
      <c r="DE43" s="13" t="str">
        <f t="shared" ca="1" si="31"/>
        <v/>
      </c>
      <c r="DF43" s="13" t="str">
        <f t="shared" ca="1" si="31"/>
        <v/>
      </c>
      <c r="DG43" s="13" t="str">
        <f t="shared" ca="1" si="31"/>
        <v/>
      </c>
      <c r="DH43" s="13" t="str">
        <f t="shared" ca="1" si="31"/>
        <v/>
      </c>
      <c r="DI43" s="13" t="str">
        <f t="shared" ca="1" si="31"/>
        <v/>
      </c>
      <c r="DJ43" s="13" t="str">
        <f t="shared" ca="1" si="31"/>
        <v/>
      </c>
      <c r="DK43" s="13" t="str">
        <f t="shared" ca="1" si="31"/>
        <v/>
      </c>
      <c r="DL43" s="13" t="str">
        <f t="shared" ca="1" si="31"/>
        <v/>
      </c>
      <c r="DM43" s="13" t="str">
        <f t="shared" ca="1" si="31"/>
        <v/>
      </c>
      <c r="DN43" s="13" t="str">
        <f t="shared" ca="1" si="31"/>
        <v/>
      </c>
      <c r="DO43" s="13" t="str">
        <f t="shared" ca="1" si="31"/>
        <v/>
      </c>
      <c r="DP43" s="13" t="str">
        <f t="shared" ca="1" si="31"/>
        <v/>
      </c>
      <c r="DQ43" s="13" t="str">
        <f t="shared" ca="1" si="31"/>
        <v/>
      </c>
      <c r="DR43" s="13" t="str">
        <f t="shared" ca="1" si="31"/>
        <v/>
      </c>
      <c r="DS43" s="13" t="str">
        <f t="shared" ca="1" si="31"/>
        <v/>
      </c>
      <c r="DT43" s="13" t="str">
        <f t="shared" ca="1" si="31"/>
        <v/>
      </c>
      <c r="DU43" s="13" t="str">
        <f t="shared" ca="1" si="31"/>
        <v/>
      </c>
      <c r="DV43" s="13" t="str">
        <f t="shared" ca="1" si="31"/>
        <v/>
      </c>
      <c r="DW43" s="13" t="str">
        <f t="shared" ca="1" si="31"/>
        <v/>
      </c>
      <c r="DX43" s="13" t="str">
        <f t="shared" ca="1" si="31"/>
        <v/>
      </c>
      <c r="DY43" s="13" t="str">
        <f t="shared" ca="1" si="31"/>
        <v/>
      </c>
      <c r="DZ43" s="13" t="str">
        <f t="shared" ca="1" si="31"/>
        <v/>
      </c>
      <c r="EA43" s="13" t="str">
        <f t="shared" ca="1" si="31"/>
        <v/>
      </c>
      <c r="EB43" s="13" t="str">
        <f t="shared" ca="1" si="31"/>
        <v/>
      </c>
      <c r="EC43" s="13" t="str">
        <f t="shared" ca="1" si="31"/>
        <v/>
      </c>
      <c r="ED43" s="13" t="str">
        <f t="shared" ca="1" si="31"/>
        <v/>
      </c>
      <c r="EE43" s="13" t="str">
        <f t="shared" ca="1" si="31"/>
        <v/>
      </c>
      <c r="EF43" s="13" t="str">
        <f t="shared" ca="1" si="31"/>
        <v/>
      </c>
      <c r="EG43" s="13" t="str">
        <f t="shared" ca="1" si="31"/>
        <v/>
      </c>
      <c r="EH43" s="13" t="str">
        <f t="shared" ca="1" si="31"/>
        <v/>
      </c>
      <c r="EI43" s="13" t="str">
        <f t="shared" ca="1" si="31"/>
        <v/>
      </c>
      <c r="EJ43" s="13" t="str">
        <f t="shared" ca="1" si="31"/>
        <v/>
      </c>
    </row>
    <row r="44" spans="1:140" s="1" customFormat="1" ht="40.15" customHeight="1" x14ac:dyDescent="0.25">
      <c r="A44" s="4"/>
      <c r="B44" s="46" t="s">
        <v>39</v>
      </c>
      <c r="C44" s="47"/>
      <c r="D44" s="47"/>
      <c r="E44" s="48"/>
      <c r="F44" s="49"/>
      <c r="G44" s="50"/>
      <c r="H44" s="51"/>
      <c r="I44" s="13" t="str">
        <f t="shared" ca="1" si="24"/>
        <v/>
      </c>
      <c r="J44" s="13" t="str">
        <f t="shared" ca="1" si="24"/>
        <v/>
      </c>
      <c r="K44" s="13" t="str">
        <f t="shared" ca="1" si="24"/>
        <v/>
      </c>
      <c r="L44" s="13" t="str">
        <f t="shared" ca="1" si="24"/>
        <v/>
      </c>
      <c r="M44" s="13" t="str">
        <f t="shared" ca="1" si="24"/>
        <v/>
      </c>
      <c r="N44" s="13" t="str">
        <f t="shared" ca="1" si="24"/>
        <v/>
      </c>
      <c r="O44" s="13" t="str">
        <f t="shared" ca="1" si="24"/>
        <v/>
      </c>
      <c r="P44" s="13" t="str">
        <f t="shared" ca="1" si="24"/>
        <v/>
      </c>
      <c r="Q44" s="13" t="str">
        <f t="shared" ca="1" si="24"/>
        <v/>
      </c>
      <c r="R44" s="13" t="str">
        <f t="shared" ca="1" si="24"/>
        <v/>
      </c>
      <c r="S44" s="13" t="str">
        <f t="shared" ca="1" si="24"/>
        <v/>
      </c>
      <c r="T44" s="13" t="str">
        <f t="shared" ca="1" si="24"/>
        <v/>
      </c>
      <c r="U44" s="13" t="str">
        <f t="shared" ca="1" si="24"/>
        <v/>
      </c>
      <c r="V44" s="13" t="str">
        <f t="shared" ca="1" si="24"/>
        <v/>
      </c>
      <c r="W44" s="13" t="str">
        <f t="shared" ca="1" si="24"/>
        <v/>
      </c>
      <c r="X44" s="13" t="str">
        <f t="shared" ca="1" si="24"/>
        <v/>
      </c>
      <c r="Y44" s="13" t="str">
        <f t="shared" ca="1" si="25"/>
        <v/>
      </c>
      <c r="Z44" s="13" t="str">
        <f t="shared" ca="1" si="25"/>
        <v/>
      </c>
      <c r="AA44" s="13" t="str">
        <f t="shared" ca="1" si="25"/>
        <v/>
      </c>
      <c r="AB44" s="13" t="str">
        <f t="shared" ca="1" si="25"/>
        <v/>
      </c>
      <c r="AC44" s="13" t="str">
        <f t="shared" ca="1" si="25"/>
        <v/>
      </c>
      <c r="AD44" s="13" t="str">
        <f t="shared" ca="1" si="25"/>
        <v/>
      </c>
      <c r="AE44" s="13" t="str">
        <f t="shared" ca="1" si="25"/>
        <v/>
      </c>
      <c r="AF44" s="13" t="str">
        <f t="shared" ca="1" si="25"/>
        <v/>
      </c>
      <c r="AG44" s="13" t="str">
        <f t="shared" ca="1" si="25"/>
        <v/>
      </c>
      <c r="AH44" s="13" t="str">
        <f t="shared" ca="1" si="25"/>
        <v/>
      </c>
      <c r="AI44" s="13" t="str">
        <f t="shared" ca="1" si="25"/>
        <v/>
      </c>
      <c r="AJ44" s="13" t="str">
        <f t="shared" ca="1" si="25"/>
        <v/>
      </c>
      <c r="AK44" s="13" t="str">
        <f t="shared" ca="1" si="25"/>
        <v/>
      </c>
      <c r="AL44" s="13" t="str">
        <f t="shared" ca="1" si="25"/>
        <v/>
      </c>
      <c r="AM44" s="13" t="str">
        <f t="shared" ca="1" si="25"/>
        <v/>
      </c>
      <c r="AN44" s="13" t="str">
        <f t="shared" ca="1" si="25"/>
        <v/>
      </c>
      <c r="AO44" s="13" t="str">
        <f t="shared" ca="1" si="26"/>
        <v/>
      </c>
      <c r="AP44" s="13" t="str">
        <f t="shared" ca="1" si="26"/>
        <v/>
      </c>
      <c r="AQ44" s="13" t="str">
        <f t="shared" ca="1" si="26"/>
        <v/>
      </c>
      <c r="AR44" s="13" t="str">
        <f t="shared" ca="1" si="26"/>
        <v/>
      </c>
      <c r="AS44" s="13" t="str">
        <f t="shared" ca="1" si="26"/>
        <v/>
      </c>
      <c r="AT44" s="13" t="str">
        <f t="shared" ca="1" si="26"/>
        <v/>
      </c>
      <c r="AU44" s="13" t="str">
        <f t="shared" ca="1" si="26"/>
        <v/>
      </c>
      <c r="AV44" s="13" t="str">
        <f t="shared" ca="1" si="26"/>
        <v/>
      </c>
      <c r="AW44" s="13" t="str">
        <f t="shared" ca="1" si="26"/>
        <v/>
      </c>
      <c r="AX44" s="13" t="str">
        <f t="shared" ca="1" si="26"/>
        <v/>
      </c>
      <c r="AY44" s="13" t="str">
        <f t="shared" ca="1" si="26"/>
        <v/>
      </c>
      <c r="AZ44" s="13" t="str">
        <f t="shared" ca="1" si="26"/>
        <v/>
      </c>
      <c r="BA44" s="13" t="str">
        <f t="shared" ca="1" si="26"/>
        <v/>
      </c>
      <c r="BB44" s="13" t="str">
        <f t="shared" ca="1" si="26"/>
        <v/>
      </c>
      <c r="BC44" s="13" t="str">
        <f t="shared" ca="1" si="26"/>
        <v/>
      </c>
      <c r="BD44" s="13" t="str">
        <f t="shared" ca="1" si="27"/>
        <v/>
      </c>
      <c r="BE44" s="13" t="str">
        <f t="shared" ca="1" si="27"/>
        <v/>
      </c>
      <c r="BF44" s="13" t="str">
        <f t="shared" ca="1" si="27"/>
        <v/>
      </c>
      <c r="BG44" s="13" t="str">
        <f t="shared" ca="1" si="27"/>
        <v/>
      </c>
      <c r="BH44" s="13" t="str">
        <f t="shared" ca="1" si="27"/>
        <v/>
      </c>
      <c r="BI44" s="13" t="str">
        <f t="shared" ca="1" si="27"/>
        <v/>
      </c>
      <c r="BJ44" s="13" t="str">
        <f t="shared" ca="1" si="27"/>
        <v/>
      </c>
      <c r="BK44" s="13" t="str">
        <f t="shared" ca="1" si="27"/>
        <v/>
      </c>
      <c r="BL44" s="13" t="str">
        <f t="shared" ca="1" si="27"/>
        <v/>
      </c>
      <c r="BM44" s="13" t="str">
        <f t="shared" ca="1" si="27"/>
        <v/>
      </c>
      <c r="BN44" s="13" t="str">
        <f t="shared" ca="1" si="27"/>
        <v/>
      </c>
      <c r="BO44" s="13" t="str">
        <f t="shared" ca="1" si="27"/>
        <v/>
      </c>
      <c r="BP44" s="13" t="str">
        <f t="shared" ca="1" si="27"/>
        <v/>
      </c>
      <c r="BQ44" s="13" t="str">
        <f t="shared" ca="1" si="27"/>
        <v/>
      </c>
      <c r="BR44" s="13" t="str">
        <f t="shared" ca="1" si="27"/>
        <v/>
      </c>
      <c r="BS44" s="13" t="str">
        <f t="shared" ca="1" si="29"/>
        <v/>
      </c>
      <c r="BT44" s="13" t="str">
        <f t="shared" ca="1" si="29"/>
        <v/>
      </c>
      <c r="BU44" s="13" t="str">
        <f t="shared" ca="1" si="29"/>
        <v/>
      </c>
      <c r="BV44" s="13" t="str">
        <f t="shared" ca="1" si="29"/>
        <v/>
      </c>
      <c r="BW44" s="13" t="str">
        <f t="shared" ca="1" si="29"/>
        <v/>
      </c>
      <c r="BX44" s="13" t="str">
        <f t="shared" ca="1" si="29"/>
        <v/>
      </c>
      <c r="BY44" s="13" t="str">
        <f t="shared" ca="1" si="29"/>
        <v/>
      </c>
      <c r="BZ44" s="13" t="str">
        <f t="shared" ca="1" si="29"/>
        <v/>
      </c>
      <c r="CA44" s="13" t="str">
        <f t="shared" ca="1" si="29"/>
        <v/>
      </c>
      <c r="CB44" s="13" t="str">
        <f t="shared" ca="1" si="29"/>
        <v/>
      </c>
      <c r="CC44" s="13" t="str">
        <f t="shared" ca="1" si="29"/>
        <v/>
      </c>
      <c r="CD44" s="13" t="str">
        <f t="shared" ca="1" si="29"/>
        <v/>
      </c>
      <c r="CE44" s="13" t="str">
        <f t="shared" ca="1" si="29"/>
        <v/>
      </c>
      <c r="CF44" s="13" t="str">
        <f t="shared" ca="1" si="29"/>
        <v/>
      </c>
      <c r="CG44" s="13" t="str">
        <f t="shared" ca="1" si="29"/>
        <v/>
      </c>
      <c r="CH44" s="13" t="str">
        <f t="shared" ca="1" si="29"/>
        <v/>
      </c>
      <c r="CI44" s="13" t="str">
        <f t="shared" ca="1" si="29"/>
        <v/>
      </c>
      <c r="CJ44" s="13" t="str">
        <f t="shared" ca="1" si="29"/>
        <v/>
      </c>
      <c r="CK44" s="13" t="str">
        <f t="shared" ca="1" si="29"/>
        <v/>
      </c>
      <c r="CL44" s="13" t="str">
        <f t="shared" ca="1" si="29"/>
        <v/>
      </c>
      <c r="CM44" s="13" t="str">
        <f t="shared" ca="1" si="31"/>
        <v/>
      </c>
      <c r="CN44" s="13" t="str">
        <f t="shared" ca="1" si="31"/>
        <v/>
      </c>
      <c r="CO44" s="13" t="str">
        <f t="shared" ca="1" si="31"/>
        <v/>
      </c>
      <c r="CP44" s="13" t="str">
        <f t="shared" ca="1" si="31"/>
        <v/>
      </c>
      <c r="CQ44" s="13" t="str">
        <f t="shared" ca="1" si="31"/>
        <v/>
      </c>
      <c r="CR44" s="13" t="str">
        <f t="shared" ca="1" si="31"/>
        <v/>
      </c>
      <c r="CS44" s="13" t="str">
        <f t="shared" ca="1" si="31"/>
        <v/>
      </c>
      <c r="CT44" s="13" t="str">
        <f t="shared" ca="1" si="31"/>
        <v/>
      </c>
      <c r="CU44" s="13" t="str">
        <f t="shared" ca="1" si="31"/>
        <v/>
      </c>
      <c r="CV44" s="13" t="str">
        <f t="shared" ca="1" si="31"/>
        <v/>
      </c>
      <c r="CW44" s="13" t="str">
        <f t="shared" ca="1" si="31"/>
        <v/>
      </c>
      <c r="CX44" s="13" t="str">
        <f t="shared" ca="1" si="31"/>
        <v/>
      </c>
      <c r="CY44" s="13" t="str">
        <f t="shared" ca="1" si="31"/>
        <v/>
      </c>
      <c r="CZ44" s="13" t="str">
        <f t="shared" ca="1" si="31"/>
        <v/>
      </c>
      <c r="DA44" s="13" t="str">
        <f t="shared" ca="1" si="31"/>
        <v/>
      </c>
      <c r="DB44" s="13" t="str">
        <f t="shared" ca="1" si="31"/>
        <v/>
      </c>
      <c r="DC44" s="13" t="str">
        <f t="shared" ca="1" si="31"/>
        <v/>
      </c>
      <c r="DD44" s="13" t="str">
        <f t="shared" ca="1" si="31"/>
        <v/>
      </c>
      <c r="DE44" s="13" t="str">
        <f t="shared" ca="1" si="31"/>
        <v/>
      </c>
      <c r="DF44" s="13" t="str">
        <f t="shared" ca="1" si="31"/>
        <v/>
      </c>
      <c r="DG44" s="13" t="str">
        <f t="shared" ca="1" si="31"/>
        <v/>
      </c>
      <c r="DH44" s="13" t="str">
        <f t="shared" ca="1" si="31"/>
        <v/>
      </c>
      <c r="DI44" s="13" t="str">
        <f t="shared" ca="1" si="31"/>
        <v/>
      </c>
      <c r="DJ44" s="13" t="str">
        <f t="shared" ca="1" si="31"/>
        <v/>
      </c>
      <c r="DK44" s="13" t="str">
        <f t="shared" ca="1" si="31"/>
        <v/>
      </c>
      <c r="DL44" s="13" t="str">
        <f t="shared" ca="1" si="31"/>
        <v/>
      </c>
      <c r="DM44" s="13" t="str">
        <f t="shared" ca="1" si="31"/>
        <v/>
      </c>
      <c r="DN44" s="13" t="str">
        <f t="shared" ca="1" si="31"/>
        <v/>
      </c>
      <c r="DO44" s="13" t="str">
        <f t="shared" ca="1" si="31"/>
        <v/>
      </c>
      <c r="DP44" s="13" t="str">
        <f t="shared" ca="1" si="31"/>
        <v/>
      </c>
      <c r="DQ44" s="13" t="str">
        <f t="shared" ca="1" si="31"/>
        <v/>
      </c>
      <c r="DR44" s="13" t="str">
        <f t="shared" ca="1" si="31"/>
        <v/>
      </c>
      <c r="DS44" s="13" t="str">
        <f t="shared" ca="1" si="31"/>
        <v/>
      </c>
      <c r="DT44" s="13" t="str">
        <f t="shared" ca="1" si="31"/>
        <v/>
      </c>
      <c r="DU44" s="13" t="str">
        <f t="shared" ca="1" si="31"/>
        <v/>
      </c>
      <c r="DV44" s="13" t="str">
        <f t="shared" ca="1" si="31"/>
        <v/>
      </c>
      <c r="DW44" s="13" t="str">
        <f t="shared" ca="1" si="31"/>
        <v/>
      </c>
      <c r="DX44" s="13" t="str">
        <f t="shared" ca="1" si="31"/>
        <v/>
      </c>
      <c r="DY44" s="13" t="str">
        <f t="shared" ca="1" si="31"/>
        <v/>
      </c>
      <c r="DZ44" s="13" t="str">
        <f t="shared" ca="1" si="31"/>
        <v/>
      </c>
      <c r="EA44" s="13" t="str">
        <f t="shared" ca="1" si="31"/>
        <v/>
      </c>
      <c r="EB44" s="13" t="str">
        <f t="shared" ca="1" si="31"/>
        <v/>
      </c>
      <c r="EC44" s="13" t="str">
        <f t="shared" ca="1" si="31"/>
        <v/>
      </c>
      <c r="ED44" s="13" t="str">
        <f t="shared" ca="1" si="31"/>
        <v/>
      </c>
      <c r="EE44" s="13" t="str">
        <f t="shared" ca="1" si="31"/>
        <v/>
      </c>
      <c r="EF44" s="13" t="str">
        <f t="shared" ca="1" si="31"/>
        <v/>
      </c>
      <c r="EG44" s="13" t="str">
        <f t="shared" ca="1" si="31"/>
        <v/>
      </c>
      <c r="EH44" s="13" t="str">
        <f t="shared" ca="1" si="31"/>
        <v/>
      </c>
      <c r="EI44" s="13" t="str">
        <f t="shared" ca="1" si="31"/>
        <v/>
      </c>
      <c r="EJ44" s="13" t="str">
        <f t="shared" ca="1" si="31"/>
        <v/>
      </c>
    </row>
    <row r="45" spans="1:140" s="1" customFormat="1" ht="40.15" customHeight="1" x14ac:dyDescent="0.25">
      <c r="A45" s="4"/>
      <c r="B45" s="52" t="s">
        <v>19</v>
      </c>
      <c r="C45" s="47" t="s">
        <v>6</v>
      </c>
      <c r="D45" s="71" t="s">
        <v>42</v>
      </c>
      <c r="E45" s="48"/>
      <c r="F45" s="49">
        <f>F42+7</f>
        <v>44423</v>
      </c>
      <c r="G45" s="50">
        <v>1</v>
      </c>
      <c r="H45" s="51"/>
      <c r="I45" s="13" t="str">
        <f t="shared" ca="1" si="24"/>
        <v/>
      </c>
      <c r="J45" s="13" t="str">
        <f t="shared" ca="1" si="24"/>
        <v/>
      </c>
      <c r="K45" s="13" t="str">
        <f t="shared" ca="1" si="24"/>
        <v/>
      </c>
      <c r="L45" s="13" t="str">
        <f t="shared" ca="1" si="24"/>
        <v/>
      </c>
      <c r="M45" s="13" t="str">
        <f t="shared" ca="1" si="24"/>
        <v/>
      </c>
      <c r="N45" s="13" t="str">
        <f t="shared" ca="1" si="24"/>
        <v/>
      </c>
      <c r="O45" s="13" t="str">
        <f t="shared" ca="1" si="24"/>
        <v/>
      </c>
      <c r="P45" s="13" t="str">
        <f t="shared" ca="1" si="24"/>
        <v/>
      </c>
      <c r="Q45" s="13" t="str">
        <f t="shared" ca="1" si="24"/>
        <v/>
      </c>
      <c r="R45" s="13" t="str">
        <f t="shared" ca="1" si="24"/>
        <v/>
      </c>
      <c r="S45" s="13" t="str">
        <f t="shared" ca="1" si="24"/>
        <v/>
      </c>
      <c r="T45" s="13" t="str">
        <f t="shared" ca="1" si="24"/>
        <v/>
      </c>
      <c r="U45" s="13" t="str">
        <f t="shared" ca="1" si="24"/>
        <v/>
      </c>
      <c r="V45" s="13" t="str">
        <f t="shared" ca="1" si="24"/>
        <v/>
      </c>
      <c r="W45" s="13" t="str">
        <f t="shared" ca="1" si="24"/>
        <v/>
      </c>
      <c r="X45" s="13" t="str">
        <f t="shared" ref="I45:X50" ca="1" si="32">IF(AND($C45="目標",X$7&gt;=$F45,X$7&lt;=$F45+$G45-1),2,IF(AND($C45="マイルストーン",X$7&gt;=$F45,X$7&lt;=$F45+$G45-1),1,""))</f>
        <v/>
      </c>
      <c r="Y45" s="13" t="str">
        <f t="shared" ca="1" si="25"/>
        <v/>
      </c>
      <c r="Z45" s="13" t="str">
        <f t="shared" ca="1" si="25"/>
        <v/>
      </c>
      <c r="AA45" s="13" t="str">
        <f t="shared" ca="1" si="25"/>
        <v/>
      </c>
      <c r="AB45" s="13" t="str">
        <f t="shared" ca="1" si="25"/>
        <v/>
      </c>
      <c r="AC45" s="13" t="str">
        <f t="shared" ca="1" si="25"/>
        <v/>
      </c>
      <c r="AD45" s="13" t="str">
        <f t="shared" ca="1" si="25"/>
        <v/>
      </c>
      <c r="AE45" s="13" t="str">
        <f t="shared" ca="1" si="25"/>
        <v/>
      </c>
      <c r="AF45" s="13" t="str">
        <f t="shared" ca="1" si="25"/>
        <v/>
      </c>
      <c r="AG45" s="13" t="str">
        <f t="shared" ca="1" si="25"/>
        <v/>
      </c>
      <c r="AH45" s="13" t="str">
        <f t="shared" ca="1" si="25"/>
        <v/>
      </c>
      <c r="AI45" s="13" t="str">
        <f t="shared" ca="1" si="25"/>
        <v/>
      </c>
      <c r="AJ45" s="13" t="str">
        <f t="shared" ca="1" si="25"/>
        <v/>
      </c>
      <c r="AK45" s="13" t="str">
        <f t="shared" ca="1" si="25"/>
        <v/>
      </c>
      <c r="AL45" s="13" t="str">
        <f t="shared" ca="1" si="25"/>
        <v/>
      </c>
      <c r="AM45" s="13" t="str">
        <f t="shared" ca="1" si="25"/>
        <v/>
      </c>
      <c r="AN45" s="13" t="str">
        <f t="shared" ref="AN45:BC50" ca="1" si="33">IF(AND($C45="目標",AN$7&gt;=$F45,AN$7&lt;=$F45+$G45-1),2,IF(AND($C45="マイルストーン",AN$7&gt;=$F45,AN$7&lt;=$F45+$G45-1),1,""))</f>
        <v/>
      </c>
      <c r="AO45" s="13" t="str">
        <f t="shared" ca="1" si="33"/>
        <v/>
      </c>
      <c r="AP45" s="13" t="str">
        <f t="shared" ca="1" si="33"/>
        <v/>
      </c>
      <c r="AQ45" s="13" t="str">
        <f t="shared" ca="1" si="33"/>
        <v/>
      </c>
      <c r="AR45" s="13" t="str">
        <f t="shared" ca="1" si="33"/>
        <v/>
      </c>
      <c r="AS45" s="13" t="str">
        <f t="shared" ca="1" si="33"/>
        <v/>
      </c>
      <c r="AT45" s="13" t="str">
        <f t="shared" ca="1" si="33"/>
        <v/>
      </c>
      <c r="AU45" s="13" t="str">
        <f t="shared" ca="1" si="33"/>
        <v/>
      </c>
      <c r="AV45" s="13" t="str">
        <f t="shared" ca="1" si="33"/>
        <v/>
      </c>
      <c r="AW45" s="13" t="str">
        <f t="shared" ca="1" si="33"/>
        <v/>
      </c>
      <c r="AX45" s="13" t="str">
        <f t="shared" ca="1" si="33"/>
        <v/>
      </c>
      <c r="AY45" s="13" t="str">
        <f t="shared" ca="1" si="33"/>
        <v/>
      </c>
      <c r="AZ45" s="13" t="str">
        <f t="shared" ca="1" si="33"/>
        <v/>
      </c>
      <c r="BA45" s="13" t="str">
        <f t="shared" ca="1" si="33"/>
        <v/>
      </c>
      <c r="BB45" s="13" t="str">
        <f t="shared" ca="1" si="33"/>
        <v/>
      </c>
      <c r="BC45" s="13" t="str">
        <f t="shared" ca="1" si="33"/>
        <v/>
      </c>
      <c r="BD45" s="13" t="str">
        <f t="shared" ca="1" si="27"/>
        <v/>
      </c>
      <c r="BE45" s="13" t="str">
        <f t="shared" ca="1" si="27"/>
        <v/>
      </c>
      <c r="BF45" s="13" t="str">
        <f t="shared" ca="1" si="27"/>
        <v/>
      </c>
      <c r="BG45" s="13" t="str">
        <f t="shared" ca="1" si="27"/>
        <v/>
      </c>
      <c r="BH45" s="13" t="str">
        <f t="shared" ca="1" si="27"/>
        <v/>
      </c>
      <c r="BI45" s="13" t="str">
        <f t="shared" ca="1" si="27"/>
        <v/>
      </c>
      <c r="BJ45" s="13" t="str">
        <f t="shared" ca="1" si="27"/>
        <v/>
      </c>
      <c r="BK45" s="13" t="str">
        <f t="shared" ca="1" si="27"/>
        <v/>
      </c>
      <c r="BL45" s="13" t="str">
        <f t="shared" ca="1" si="27"/>
        <v/>
      </c>
      <c r="BM45" s="13" t="str">
        <f t="shared" ca="1" si="27"/>
        <v/>
      </c>
      <c r="BN45" s="13" t="str">
        <f t="shared" ca="1" si="27"/>
        <v/>
      </c>
      <c r="BO45" s="13" t="str">
        <f t="shared" ca="1" si="27"/>
        <v/>
      </c>
      <c r="BP45" s="13" t="str">
        <f t="shared" ca="1" si="27"/>
        <v/>
      </c>
      <c r="BQ45" s="13" t="str">
        <f t="shared" ca="1" si="27"/>
        <v/>
      </c>
      <c r="BR45" s="13" t="str">
        <f t="shared" ca="1" si="27"/>
        <v/>
      </c>
      <c r="BS45" s="13" t="str">
        <f t="shared" ca="1" si="29"/>
        <v/>
      </c>
      <c r="BT45" s="13" t="str">
        <f t="shared" ca="1" si="29"/>
        <v/>
      </c>
      <c r="BU45" s="13" t="str">
        <f t="shared" ca="1" si="29"/>
        <v/>
      </c>
      <c r="BV45" s="13" t="str">
        <f t="shared" ca="1" si="29"/>
        <v/>
      </c>
      <c r="BW45" s="13" t="str">
        <f t="shared" ca="1" si="29"/>
        <v/>
      </c>
      <c r="BX45" s="13" t="str">
        <f t="shared" ca="1" si="29"/>
        <v/>
      </c>
      <c r="BY45" s="13" t="str">
        <f t="shared" ca="1" si="29"/>
        <v/>
      </c>
      <c r="BZ45" s="13" t="str">
        <f t="shared" ca="1" si="29"/>
        <v/>
      </c>
      <c r="CA45" s="13" t="str">
        <f t="shared" ca="1" si="29"/>
        <v/>
      </c>
      <c r="CB45" s="13" t="str">
        <f t="shared" ca="1" si="29"/>
        <v/>
      </c>
      <c r="CC45" s="13" t="str">
        <f t="shared" ca="1" si="29"/>
        <v/>
      </c>
      <c r="CD45" s="13" t="str">
        <f t="shared" ca="1" si="29"/>
        <v/>
      </c>
      <c r="CE45" s="13" t="str">
        <f t="shared" ca="1" si="29"/>
        <v/>
      </c>
      <c r="CF45" s="13" t="str">
        <f t="shared" ca="1" si="29"/>
        <v/>
      </c>
      <c r="CG45" s="13" t="str">
        <f t="shared" ca="1" si="29"/>
        <v/>
      </c>
      <c r="CH45" s="13" t="str">
        <f t="shared" ca="1" si="29"/>
        <v/>
      </c>
      <c r="CI45" s="13" t="str">
        <f t="shared" ca="1" si="29"/>
        <v/>
      </c>
      <c r="CJ45" s="13" t="str">
        <f t="shared" ca="1" si="29"/>
        <v/>
      </c>
      <c r="CK45" s="13" t="str">
        <f t="shared" ca="1" si="29"/>
        <v/>
      </c>
      <c r="CL45" s="13" t="str">
        <f t="shared" ca="1" si="29"/>
        <v/>
      </c>
      <c r="CM45" s="13" t="str">
        <f t="shared" ca="1" si="31"/>
        <v/>
      </c>
      <c r="CN45" s="13" t="str">
        <f t="shared" ca="1" si="31"/>
        <v/>
      </c>
      <c r="CO45" s="13">
        <f t="shared" ca="1" si="31"/>
        <v>1</v>
      </c>
      <c r="CP45" s="13" t="str">
        <f t="shared" ca="1" si="31"/>
        <v/>
      </c>
      <c r="CQ45" s="13" t="str">
        <f t="shared" ca="1" si="31"/>
        <v/>
      </c>
      <c r="CR45" s="13" t="str">
        <f t="shared" ca="1" si="31"/>
        <v/>
      </c>
      <c r="CS45" s="13" t="str">
        <f t="shared" ca="1" si="31"/>
        <v/>
      </c>
      <c r="CT45" s="13" t="str">
        <f t="shared" ca="1" si="31"/>
        <v/>
      </c>
      <c r="CU45" s="13" t="str">
        <f t="shared" ca="1" si="31"/>
        <v/>
      </c>
      <c r="CV45" s="13" t="str">
        <f t="shared" ca="1" si="31"/>
        <v/>
      </c>
      <c r="CW45" s="13" t="str">
        <f t="shared" ca="1" si="31"/>
        <v/>
      </c>
      <c r="CX45" s="13" t="str">
        <f t="shared" ca="1" si="31"/>
        <v/>
      </c>
      <c r="CY45" s="13" t="str">
        <f t="shared" ca="1" si="31"/>
        <v/>
      </c>
      <c r="CZ45" s="13" t="str">
        <f t="shared" ca="1" si="31"/>
        <v/>
      </c>
      <c r="DA45" s="13" t="str">
        <f t="shared" ca="1" si="31"/>
        <v/>
      </c>
      <c r="DB45" s="13" t="str">
        <f t="shared" ca="1" si="31"/>
        <v/>
      </c>
      <c r="DC45" s="13" t="str">
        <f t="shared" ca="1" si="31"/>
        <v/>
      </c>
      <c r="DD45" s="13" t="str">
        <f t="shared" ca="1" si="31"/>
        <v/>
      </c>
      <c r="DE45" s="13" t="str">
        <f t="shared" ca="1" si="31"/>
        <v/>
      </c>
      <c r="DF45" s="13" t="str">
        <f t="shared" ca="1" si="31"/>
        <v/>
      </c>
      <c r="DG45" s="13" t="str">
        <f t="shared" ca="1" si="31"/>
        <v/>
      </c>
      <c r="DH45" s="13" t="str">
        <f t="shared" ca="1" si="31"/>
        <v/>
      </c>
      <c r="DI45" s="13" t="str">
        <f t="shared" ca="1" si="31"/>
        <v/>
      </c>
      <c r="DJ45" s="13" t="str">
        <f t="shared" ca="1" si="31"/>
        <v/>
      </c>
      <c r="DK45" s="13" t="str">
        <f t="shared" ca="1" si="31"/>
        <v/>
      </c>
      <c r="DL45" s="13" t="str">
        <f t="shared" ca="1" si="31"/>
        <v/>
      </c>
      <c r="DM45" s="13" t="str">
        <f t="shared" ca="1" si="31"/>
        <v/>
      </c>
      <c r="DN45" s="13" t="str">
        <f t="shared" ca="1" si="31"/>
        <v/>
      </c>
      <c r="DO45" s="13" t="str">
        <f t="shared" ca="1" si="31"/>
        <v/>
      </c>
      <c r="DP45" s="13" t="str">
        <f t="shared" ca="1" si="31"/>
        <v/>
      </c>
      <c r="DQ45" s="13" t="str">
        <f t="shared" ca="1" si="31"/>
        <v/>
      </c>
      <c r="DR45" s="13" t="str">
        <f t="shared" ca="1" si="31"/>
        <v/>
      </c>
      <c r="DS45" s="13" t="str">
        <f t="shared" ca="1" si="31"/>
        <v/>
      </c>
      <c r="DT45" s="13" t="str">
        <f t="shared" ca="1" si="31"/>
        <v/>
      </c>
      <c r="DU45" s="13" t="str">
        <f t="shared" ca="1" si="31"/>
        <v/>
      </c>
      <c r="DV45" s="13" t="str">
        <f t="shared" ca="1" si="31"/>
        <v/>
      </c>
      <c r="DW45" s="13" t="str">
        <f t="shared" ca="1" si="31"/>
        <v/>
      </c>
      <c r="DX45" s="13" t="str">
        <f t="shared" ca="1" si="31"/>
        <v/>
      </c>
      <c r="DY45" s="13" t="str">
        <f t="shared" ca="1" si="31"/>
        <v/>
      </c>
      <c r="DZ45" s="13" t="str">
        <f t="shared" ca="1" si="31"/>
        <v/>
      </c>
      <c r="EA45" s="13" t="str">
        <f t="shared" ca="1" si="31"/>
        <v/>
      </c>
      <c r="EB45" s="13" t="str">
        <f t="shared" ca="1" si="31"/>
        <v/>
      </c>
      <c r="EC45" s="13" t="str">
        <f t="shared" ca="1" si="31"/>
        <v/>
      </c>
      <c r="ED45" s="13" t="str">
        <f t="shared" ca="1" si="31"/>
        <v/>
      </c>
      <c r="EE45" s="13" t="str">
        <f t="shared" ca="1" si="31"/>
        <v/>
      </c>
      <c r="EF45" s="13" t="str">
        <f t="shared" ca="1" si="31"/>
        <v/>
      </c>
      <c r="EG45" s="13" t="str">
        <f t="shared" ca="1" si="31"/>
        <v/>
      </c>
      <c r="EH45" s="13" t="str">
        <f t="shared" ca="1" si="31"/>
        <v/>
      </c>
      <c r="EI45" s="13" t="str">
        <f t="shared" ca="1" si="31"/>
        <v/>
      </c>
      <c r="EJ45" s="13" t="str">
        <f t="shared" ca="1" si="31"/>
        <v/>
      </c>
    </row>
    <row r="46" spans="1:140" s="1" customFormat="1" ht="40.15" customHeight="1" x14ac:dyDescent="0.25">
      <c r="A46" s="4"/>
      <c r="B46" s="52" t="s">
        <v>20</v>
      </c>
      <c r="C46" s="47" t="s">
        <v>10</v>
      </c>
      <c r="D46" s="47"/>
      <c r="E46" s="48">
        <v>0</v>
      </c>
      <c r="F46" s="49">
        <f>F42+1</f>
        <v>44417</v>
      </c>
      <c r="G46" s="50">
        <v>7</v>
      </c>
      <c r="H46" s="51"/>
      <c r="I46" s="13" t="str">
        <f t="shared" ca="1" si="32"/>
        <v/>
      </c>
      <c r="J46" s="13" t="str">
        <f t="shared" ca="1" si="32"/>
        <v/>
      </c>
      <c r="K46" s="13" t="str">
        <f t="shared" ca="1" si="32"/>
        <v/>
      </c>
      <c r="L46" s="13" t="str">
        <f t="shared" ca="1" si="32"/>
        <v/>
      </c>
      <c r="M46" s="13" t="str">
        <f t="shared" ca="1" si="32"/>
        <v/>
      </c>
      <c r="N46" s="13" t="str">
        <f t="shared" ca="1" si="32"/>
        <v/>
      </c>
      <c r="O46" s="13" t="str">
        <f t="shared" ca="1" si="32"/>
        <v/>
      </c>
      <c r="P46" s="13" t="str">
        <f t="shared" ca="1" si="32"/>
        <v/>
      </c>
      <c r="Q46" s="13" t="str">
        <f t="shared" ca="1" si="32"/>
        <v/>
      </c>
      <c r="R46" s="13" t="str">
        <f t="shared" ca="1" si="32"/>
        <v/>
      </c>
      <c r="S46" s="13" t="str">
        <f t="shared" ca="1" si="32"/>
        <v/>
      </c>
      <c r="T46" s="13" t="str">
        <f t="shared" ca="1" si="32"/>
        <v/>
      </c>
      <c r="U46" s="13" t="str">
        <f t="shared" ca="1" si="32"/>
        <v/>
      </c>
      <c r="V46" s="13" t="str">
        <f t="shared" ca="1" si="32"/>
        <v/>
      </c>
      <c r="W46" s="13" t="str">
        <f t="shared" ca="1" si="32"/>
        <v/>
      </c>
      <c r="X46" s="13" t="str">
        <f t="shared" ca="1" si="32"/>
        <v/>
      </c>
      <c r="Y46" s="13" t="str">
        <f t="shared" ref="Y46:AM50" ca="1" si="34">IF(AND($C46="目標",Y$7&gt;=$F46,Y$7&lt;=$F46+$G46-1),2,IF(AND($C46="マイルストーン",Y$7&gt;=$F46,Y$7&lt;=$F46+$G46-1),1,""))</f>
        <v/>
      </c>
      <c r="Z46" s="13" t="str">
        <f t="shared" ca="1" si="34"/>
        <v/>
      </c>
      <c r="AA46" s="13" t="str">
        <f t="shared" ca="1" si="34"/>
        <v/>
      </c>
      <c r="AB46" s="13" t="str">
        <f t="shared" ca="1" si="34"/>
        <v/>
      </c>
      <c r="AC46" s="13" t="str">
        <f t="shared" ca="1" si="34"/>
        <v/>
      </c>
      <c r="AD46" s="13" t="str">
        <f t="shared" ca="1" si="34"/>
        <v/>
      </c>
      <c r="AE46" s="13" t="str">
        <f t="shared" ca="1" si="34"/>
        <v/>
      </c>
      <c r="AF46" s="13" t="str">
        <f t="shared" ca="1" si="34"/>
        <v/>
      </c>
      <c r="AG46" s="13" t="str">
        <f t="shared" ca="1" si="34"/>
        <v/>
      </c>
      <c r="AH46" s="13" t="str">
        <f t="shared" ca="1" si="34"/>
        <v/>
      </c>
      <c r="AI46" s="13" t="str">
        <f t="shared" ca="1" si="34"/>
        <v/>
      </c>
      <c r="AJ46" s="13" t="str">
        <f t="shared" ca="1" si="34"/>
        <v/>
      </c>
      <c r="AK46" s="13" t="str">
        <f t="shared" ca="1" si="34"/>
        <v/>
      </c>
      <c r="AL46" s="13" t="str">
        <f t="shared" ca="1" si="34"/>
        <v/>
      </c>
      <c r="AM46" s="13" t="str">
        <f t="shared" ca="1" si="34"/>
        <v/>
      </c>
      <c r="AN46" s="13" t="str">
        <f t="shared" ca="1" si="33"/>
        <v/>
      </c>
      <c r="AO46" s="13" t="str">
        <f t="shared" ca="1" si="33"/>
        <v/>
      </c>
      <c r="AP46" s="13" t="str">
        <f t="shared" ca="1" si="33"/>
        <v/>
      </c>
      <c r="AQ46" s="13" t="str">
        <f t="shared" ca="1" si="33"/>
        <v/>
      </c>
      <c r="AR46" s="13" t="str">
        <f t="shared" ca="1" si="33"/>
        <v/>
      </c>
      <c r="AS46" s="13" t="str">
        <f t="shared" ca="1" si="33"/>
        <v/>
      </c>
      <c r="AT46" s="13" t="str">
        <f t="shared" ca="1" si="33"/>
        <v/>
      </c>
      <c r="AU46" s="13" t="str">
        <f t="shared" ca="1" si="33"/>
        <v/>
      </c>
      <c r="AV46" s="13" t="str">
        <f t="shared" ca="1" si="33"/>
        <v/>
      </c>
      <c r="AW46" s="13" t="str">
        <f t="shared" ca="1" si="33"/>
        <v/>
      </c>
      <c r="AX46" s="13" t="str">
        <f t="shared" ca="1" si="33"/>
        <v/>
      </c>
      <c r="AY46" s="13" t="str">
        <f t="shared" ca="1" si="33"/>
        <v/>
      </c>
      <c r="AZ46" s="13" t="str">
        <f t="shared" ca="1" si="33"/>
        <v/>
      </c>
      <c r="BA46" s="13" t="str">
        <f t="shared" ca="1" si="33"/>
        <v/>
      </c>
      <c r="BB46" s="13" t="str">
        <f t="shared" ca="1" si="33"/>
        <v/>
      </c>
      <c r="BC46" s="13" t="str">
        <f t="shared" ca="1" si="33"/>
        <v/>
      </c>
      <c r="BD46" s="13" t="str">
        <f t="shared" ca="1" si="27"/>
        <v/>
      </c>
      <c r="BE46" s="13" t="str">
        <f t="shared" ca="1" si="27"/>
        <v/>
      </c>
      <c r="BF46" s="13" t="str">
        <f t="shared" ca="1" si="27"/>
        <v/>
      </c>
      <c r="BG46" s="13" t="str">
        <f t="shared" ca="1" si="27"/>
        <v/>
      </c>
      <c r="BH46" s="13" t="str">
        <f t="shared" ca="1" si="27"/>
        <v/>
      </c>
      <c r="BI46" s="13" t="str">
        <f t="shared" ca="1" si="27"/>
        <v/>
      </c>
      <c r="BJ46" s="13" t="str">
        <f t="shared" ca="1" si="27"/>
        <v/>
      </c>
      <c r="BK46" s="13" t="str">
        <f t="shared" ca="1" si="27"/>
        <v/>
      </c>
      <c r="BL46" s="13" t="str">
        <f t="shared" ca="1" si="27"/>
        <v/>
      </c>
      <c r="BM46" s="13" t="str">
        <f t="shared" ca="1" si="27"/>
        <v/>
      </c>
      <c r="BN46" s="13" t="str">
        <f t="shared" ca="1" si="27"/>
        <v/>
      </c>
      <c r="BO46" s="13" t="str">
        <f t="shared" ca="1" si="27"/>
        <v/>
      </c>
      <c r="BP46" s="13" t="str">
        <f t="shared" ca="1" si="27"/>
        <v/>
      </c>
      <c r="BQ46" s="13" t="str">
        <f t="shared" ca="1" si="27"/>
        <v/>
      </c>
      <c r="BR46" s="13" t="str">
        <f t="shared" ca="1" si="27"/>
        <v/>
      </c>
      <c r="BS46" s="13" t="str">
        <f t="shared" ca="1" si="29"/>
        <v/>
      </c>
      <c r="BT46" s="13" t="str">
        <f t="shared" ca="1" si="29"/>
        <v/>
      </c>
      <c r="BU46" s="13" t="str">
        <f t="shared" ca="1" si="29"/>
        <v/>
      </c>
      <c r="BV46" s="13" t="str">
        <f t="shared" ca="1" si="29"/>
        <v/>
      </c>
      <c r="BW46" s="13" t="str">
        <f t="shared" ca="1" si="29"/>
        <v/>
      </c>
      <c r="BX46" s="13" t="str">
        <f t="shared" ca="1" si="29"/>
        <v/>
      </c>
      <c r="BY46" s="13" t="str">
        <f t="shared" ca="1" si="29"/>
        <v/>
      </c>
      <c r="BZ46" s="13" t="str">
        <f t="shared" ca="1" si="29"/>
        <v/>
      </c>
      <c r="CA46" s="13" t="str">
        <f t="shared" ca="1" si="29"/>
        <v/>
      </c>
      <c r="CB46" s="13" t="str">
        <f t="shared" ca="1" si="29"/>
        <v/>
      </c>
      <c r="CC46" s="13" t="str">
        <f t="shared" ca="1" si="29"/>
        <v/>
      </c>
      <c r="CD46" s="13" t="str">
        <f t="shared" ca="1" si="29"/>
        <v/>
      </c>
      <c r="CE46" s="13" t="str">
        <f t="shared" ca="1" si="29"/>
        <v/>
      </c>
      <c r="CF46" s="13" t="str">
        <f t="shared" ca="1" si="29"/>
        <v/>
      </c>
      <c r="CG46" s="13" t="str">
        <f t="shared" ca="1" si="29"/>
        <v/>
      </c>
      <c r="CH46" s="13" t="str">
        <f t="shared" ca="1" si="29"/>
        <v/>
      </c>
      <c r="CI46" s="13" t="str">
        <f t="shared" ca="1" si="29"/>
        <v/>
      </c>
      <c r="CJ46" s="13" t="str">
        <f t="shared" ca="1" si="29"/>
        <v/>
      </c>
      <c r="CK46" s="13" t="str">
        <f t="shared" ca="1" si="29"/>
        <v/>
      </c>
      <c r="CL46" s="13" t="str">
        <f t="shared" ca="1" si="29"/>
        <v/>
      </c>
      <c r="CM46" s="13" t="str">
        <f t="shared" ca="1" si="31"/>
        <v/>
      </c>
      <c r="CN46" s="13" t="str">
        <f t="shared" ca="1" si="31"/>
        <v/>
      </c>
      <c r="CO46" s="13" t="str">
        <f t="shared" ca="1" si="31"/>
        <v/>
      </c>
      <c r="CP46" s="13" t="str">
        <f t="shared" ca="1" si="31"/>
        <v/>
      </c>
      <c r="CQ46" s="13" t="str">
        <f t="shared" ca="1" si="31"/>
        <v/>
      </c>
      <c r="CR46" s="13" t="str">
        <f t="shared" ca="1" si="31"/>
        <v/>
      </c>
      <c r="CS46" s="13" t="str">
        <f t="shared" ca="1" si="31"/>
        <v/>
      </c>
      <c r="CT46" s="13" t="str">
        <f t="shared" ca="1" si="31"/>
        <v/>
      </c>
      <c r="CU46" s="13" t="str">
        <f t="shared" ca="1" si="31"/>
        <v/>
      </c>
      <c r="CV46" s="13" t="str">
        <f t="shared" ca="1" si="31"/>
        <v/>
      </c>
      <c r="CW46" s="13" t="str">
        <f t="shared" ca="1" si="31"/>
        <v/>
      </c>
      <c r="CX46" s="13" t="str">
        <f t="shared" ca="1" si="31"/>
        <v/>
      </c>
      <c r="CY46" s="13" t="str">
        <f t="shared" ca="1" si="31"/>
        <v/>
      </c>
      <c r="CZ46" s="13" t="str">
        <f t="shared" ca="1" si="31"/>
        <v/>
      </c>
      <c r="DA46" s="13" t="str">
        <f t="shared" ca="1" si="31"/>
        <v/>
      </c>
      <c r="DB46" s="13" t="str">
        <f t="shared" ca="1" si="31"/>
        <v/>
      </c>
      <c r="DC46" s="13" t="str">
        <f t="shared" ca="1" si="31"/>
        <v/>
      </c>
      <c r="DD46" s="13" t="str">
        <f t="shared" ca="1" si="31"/>
        <v/>
      </c>
      <c r="DE46" s="13" t="str">
        <f t="shared" ca="1" si="31"/>
        <v/>
      </c>
      <c r="DF46" s="13" t="str">
        <f t="shared" ca="1" si="31"/>
        <v/>
      </c>
      <c r="DG46" s="13" t="str">
        <f t="shared" ca="1" si="31"/>
        <v/>
      </c>
      <c r="DH46" s="13" t="str">
        <f t="shared" ca="1" si="31"/>
        <v/>
      </c>
      <c r="DI46" s="13" t="str">
        <f t="shared" ca="1" si="31"/>
        <v/>
      </c>
      <c r="DJ46" s="13" t="str">
        <f t="shared" ca="1" si="31"/>
        <v/>
      </c>
      <c r="DK46" s="13" t="str">
        <f t="shared" ca="1" si="31"/>
        <v/>
      </c>
      <c r="DL46" s="13" t="str">
        <f t="shared" ca="1" si="31"/>
        <v/>
      </c>
      <c r="DM46" s="13" t="str">
        <f t="shared" ca="1" si="31"/>
        <v/>
      </c>
      <c r="DN46" s="13" t="str">
        <f t="shared" ca="1" si="31"/>
        <v/>
      </c>
      <c r="DO46" s="13" t="str">
        <f t="shared" ca="1" si="31"/>
        <v/>
      </c>
      <c r="DP46" s="13" t="str">
        <f t="shared" ca="1" si="31"/>
        <v/>
      </c>
      <c r="DQ46" s="13" t="str">
        <f t="shared" ca="1" si="31"/>
        <v/>
      </c>
      <c r="DR46" s="13" t="str">
        <f t="shared" ca="1" si="31"/>
        <v/>
      </c>
      <c r="DS46" s="13" t="str">
        <f t="shared" ca="1" si="31"/>
        <v/>
      </c>
      <c r="DT46" s="13" t="str">
        <f t="shared" ca="1" si="31"/>
        <v/>
      </c>
      <c r="DU46" s="13" t="str">
        <f t="shared" ca="1" si="31"/>
        <v/>
      </c>
      <c r="DV46" s="13" t="str">
        <f t="shared" ref="CM46:EJ50" ca="1" si="35">IF(AND($C46="目標",DV$7&gt;=$F46,DV$7&lt;=$F46+$G46-1),2,IF(AND($C46="マイルストーン",DV$7&gt;=$F46,DV$7&lt;=$F46+$G46-1),1,""))</f>
        <v/>
      </c>
      <c r="DW46" s="13" t="str">
        <f t="shared" ca="1" si="35"/>
        <v/>
      </c>
      <c r="DX46" s="13" t="str">
        <f t="shared" ca="1" si="35"/>
        <v/>
      </c>
      <c r="DY46" s="13" t="str">
        <f t="shared" ca="1" si="35"/>
        <v/>
      </c>
      <c r="DZ46" s="13" t="str">
        <f t="shared" ca="1" si="35"/>
        <v/>
      </c>
      <c r="EA46" s="13" t="str">
        <f t="shared" ca="1" si="35"/>
        <v/>
      </c>
      <c r="EB46" s="13" t="str">
        <f t="shared" ca="1" si="35"/>
        <v/>
      </c>
      <c r="EC46" s="13" t="str">
        <f t="shared" ca="1" si="35"/>
        <v/>
      </c>
      <c r="ED46" s="13" t="str">
        <f t="shared" ca="1" si="35"/>
        <v/>
      </c>
      <c r="EE46" s="13" t="str">
        <f t="shared" ca="1" si="35"/>
        <v/>
      </c>
      <c r="EF46" s="13" t="str">
        <f t="shared" ca="1" si="35"/>
        <v/>
      </c>
      <c r="EG46" s="13" t="str">
        <f t="shared" ca="1" si="35"/>
        <v/>
      </c>
      <c r="EH46" s="13" t="str">
        <f t="shared" ca="1" si="35"/>
        <v/>
      </c>
      <c r="EI46" s="13" t="str">
        <f t="shared" ca="1" si="35"/>
        <v/>
      </c>
      <c r="EJ46" s="13" t="str">
        <f t="shared" ca="1" si="35"/>
        <v/>
      </c>
    </row>
    <row r="47" spans="1:140" s="1" customFormat="1" ht="40.15" customHeight="1" x14ac:dyDescent="0.25">
      <c r="A47" s="4"/>
      <c r="B47" s="46" t="s">
        <v>43</v>
      </c>
      <c r="C47" s="47"/>
      <c r="D47" s="47"/>
      <c r="E47" s="48"/>
      <c r="F47" s="49"/>
      <c r="G47" s="50"/>
      <c r="H47" s="51"/>
      <c r="I47" s="13" t="str">
        <f t="shared" ca="1" si="32"/>
        <v/>
      </c>
      <c r="J47" s="13" t="str">
        <f t="shared" ca="1" si="32"/>
        <v/>
      </c>
      <c r="K47" s="13" t="str">
        <f t="shared" ca="1" si="32"/>
        <v/>
      </c>
      <c r="L47" s="13" t="str">
        <f t="shared" ca="1" si="32"/>
        <v/>
      </c>
      <c r="M47" s="13" t="str">
        <f t="shared" ca="1" si="32"/>
        <v/>
      </c>
      <c r="N47" s="13" t="str">
        <f t="shared" ca="1" si="32"/>
        <v/>
      </c>
      <c r="O47" s="13" t="str">
        <f t="shared" ca="1" si="32"/>
        <v/>
      </c>
      <c r="P47" s="13" t="str">
        <f t="shared" ca="1" si="32"/>
        <v/>
      </c>
      <c r="Q47" s="13" t="str">
        <f t="shared" ca="1" si="32"/>
        <v/>
      </c>
      <c r="R47" s="13" t="str">
        <f t="shared" ca="1" si="32"/>
        <v/>
      </c>
      <c r="S47" s="13" t="str">
        <f t="shared" ca="1" si="32"/>
        <v/>
      </c>
      <c r="T47" s="13" t="str">
        <f t="shared" ca="1" si="32"/>
        <v/>
      </c>
      <c r="U47" s="13" t="str">
        <f t="shared" ca="1" si="32"/>
        <v/>
      </c>
      <c r="V47" s="13" t="str">
        <f t="shared" ca="1" si="32"/>
        <v/>
      </c>
      <c r="W47" s="13" t="str">
        <f t="shared" ca="1" si="32"/>
        <v/>
      </c>
      <c r="X47" s="13" t="str">
        <f t="shared" ca="1" si="32"/>
        <v/>
      </c>
      <c r="Y47" s="13" t="str">
        <f t="shared" ca="1" si="34"/>
        <v/>
      </c>
      <c r="Z47" s="13" t="str">
        <f t="shared" ca="1" si="34"/>
        <v/>
      </c>
      <c r="AA47" s="13" t="str">
        <f t="shared" ca="1" si="34"/>
        <v/>
      </c>
      <c r="AB47" s="13" t="str">
        <f t="shared" ca="1" si="34"/>
        <v/>
      </c>
      <c r="AC47" s="13" t="str">
        <f t="shared" ca="1" si="34"/>
        <v/>
      </c>
      <c r="AD47" s="13" t="str">
        <f t="shared" ca="1" si="34"/>
        <v/>
      </c>
      <c r="AE47" s="13" t="str">
        <f t="shared" ca="1" si="34"/>
        <v/>
      </c>
      <c r="AF47" s="13" t="str">
        <f t="shared" ca="1" si="34"/>
        <v/>
      </c>
      <c r="AG47" s="13" t="str">
        <f t="shared" ca="1" si="34"/>
        <v/>
      </c>
      <c r="AH47" s="13" t="str">
        <f t="shared" ca="1" si="34"/>
        <v/>
      </c>
      <c r="AI47" s="13" t="str">
        <f t="shared" ca="1" si="34"/>
        <v/>
      </c>
      <c r="AJ47" s="13" t="str">
        <f t="shared" ca="1" si="34"/>
        <v/>
      </c>
      <c r="AK47" s="13" t="str">
        <f t="shared" ca="1" si="34"/>
        <v/>
      </c>
      <c r="AL47" s="13" t="str">
        <f t="shared" ca="1" si="34"/>
        <v/>
      </c>
      <c r="AM47" s="13" t="str">
        <f t="shared" ca="1" si="34"/>
        <v/>
      </c>
      <c r="AN47" s="13" t="str">
        <f t="shared" ca="1" si="33"/>
        <v/>
      </c>
      <c r="AO47" s="13" t="str">
        <f t="shared" ca="1" si="33"/>
        <v/>
      </c>
      <c r="AP47" s="13" t="str">
        <f t="shared" ca="1" si="33"/>
        <v/>
      </c>
      <c r="AQ47" s="13" t="str">
        <f t="shared" ca="1" si="33"/>
        <v/>
      </c>
      <c r="AR47" s="13" t="str">
        <f t="shared" ca="1" si="33"/>
        <v/>
      </c>
      <c r="AS47" s="13" t="str">
        <f t="shared" ca="1" si="33"/>
        <v/>
      </c>
      <c r="AT47" s="13" t="str">
        <f t="shared" ca="1" si="33"/>
        <v/>
      </c>
      <c r="AU47" s="13" t="str">
        <f t="shared" ca="1" si="33"/>
        <v/>
      </c>
      <c r="AV47" s="13" t="str">
        <f t="shared" ca="1" si="33"/>
        <v/>
      </c>
      <c r="AW47" s="13" t="str">
        <f t="shared" ca="1" si="33"/>
        <v/>
      </c>
      <c r="AX47" s="13" t="str">
        <f t="shared" ca="1" si="33"/>
        <v/>
      </c>
      <c r="AY47" s="13" t="str">
        <f t="shared" ca="1" si="33"/>
        <v/>
      </c>
      <c r="AZ47" s="13" t="str">
        <f t="shared" ca="1" si="33"/>
        <v/>
      </c>
      <c r="BA47" s="13" t="str">
        <f t="shared" ca="1" si="33"/>
        <v/>
      </c>
      <c r="BB47" s="13" t="str">
        <f t="shared" ca="1" si="33"/>
        <v/>
      </c>
      <c r="BC47" s="13" t="str">
        <f t="shared" ca="1" si="33"/>
        <v/>
      </c>
      <c r="BD47" s="13" t="str">
        <f t="shared" ca="1" si="27"/>
        <v/>
      </c>
      <c r="BE47" s="13" t="str">
        <f t="shared" ref="BD47:BS50" ca="1" si="36">IF(AND($C47="目標",BE$7&gt;=$F47,BE$7&lt;=$F47+$G47-1),2,IF(AND($C47="マイルストーン",BE$7&gt;=$F47,BE$7&lt;=$F47+$G47-1),1,""))</f>
        <v/>
      </c>
      <c r="BF47" s="13" t="str">
        <f t="shared" ca="1" si="36"/>
        <v/>
      </c>
      <c r="BG47" s="13" t="str">
        <f t="shared" ca="1" si="36"/>
        <v/>
      </c>
      <c r="BH47" s="13" t="str">
        <f t="shared" ca="1" si="36"/>
        <v/>
      </c>
      <c r="BI47" s="13" t="str">
        <f t="shared" ca="1" si="36"/>
        <v/>
      </c>
      <c r="BJ47" s="13" t="str">
        <f t="shared" ca="1" si="36"/>
        <v/>
      </c>
      <c r="BK47" s="13" t="str">
        <f t="shared" ca="1" si="36"/>
        <v/>
      </c>
      <c r="BL47" s="13" t="str">
        <f t="shared" ca="1" si="36"/>
        <v/>
      </c>
      <c r="BM47" s="13" t="str">
        <f t="shared" ca="1" si="36"/>
        <v/>
      </c>
      <c r="BN47" s="13" t="str">
        <f t="shared" ca="1" si="36"/>
        <v/>
      </c>
      <c r="BO47" s="13" t="str">
        <f t="shared" ca="1" si="36"/>
        <v/>
      </c>
      <c r="BP47" s="13" t="str">
        <f t="shared" ca="1" si="36"/>
        <v/>
      </c>
      <c r="BQ47" s="13" t="str">
        <f t="shared" ca="1" si="36"/>
        <v/>
      </c>
      <c r="BR47" s="13" t="str">
        <f t="shared" ca="1" si="36"/>
        <v/>
      </c>
      <c r="BS47" s="13" t="str">
        <f t="shared" ca="1" si="36"/>
        <v/>
      </c>
      <c r="BT47" s="13" t="str">
        <f t="shared" ca="1" si="29"/>
        <v/>
      </c>
      <c r="BU47" s="13" t="str">
        <f t="shared" ca="1" si="29"/>
        <v/>
      </c>
      <c r="BV47" s="13" t="str">
        <f t="shared" ca="1" si="29"/>
        <v/>
      </c>
      <c r="BW47" s="13" t="str">
        <f t="shared" ca="1" si="29"/>
        <v/>
      </c>
      <c r="BX47" s="13" t="str">
        <f t="shared" ca="1" si="29"/>
        <v/>
      </c>
      <c r="BY47" s="13" t="str">
        <f t="shared" ca="1" si="29"/>
        <v/>
      </c>
      <c r="BZ47" s="13" t="str">
        <f t="shared" ca="1" si="29"/>
        <v/>
      </c>
      <c r="CA47" s="13" t="str">
        <f t="shared" ca="1" si="29"/>
        <v/>
      </c>
      <c r="CB47" s="13" t="str">
        <f t="shared" ca="1" si="29"/>
        <v/>
      </c>
      <c r="CC47" s="13" t="str">
        <f t="shared" ca="1" si="29"/>
        <v/>
      </c>
      <c r="CD47" s="13" t="str">
        <f t="shared" ca="1" si="29"/>
        <v/>
      </c>
      <c r="CE47" s="13" t="str">
        <f t="shared" ca="1" si="29"/>
        <v/>
      </c>
      <c r="CF47" s="13" t="str">
        <f t="shared" ca="1" si="29"/>
        <v/>
      </c>
      <c r="CG47" s="13" t="str">
        <f t="shared" ca="1" si="29"/>
        <v/>
      </c>
      <c r="CH47" s="13" t="str">
        <f t="shared" ca="1" si="29"/>
        <v/>
      </c>
      <c r="CI47" s="13" t="str">
        <f t="shared" ca="1" si="29"/>
        <v/>
      </c>
      <c r="CJ47" s="13" t="str">
        <f t="shared" ca="1" si="29"/>
        <v/>
      </c>
      <c r="CK47" s="13" t="str">
        <f t="shared" ca="1" si="29"/>
        <v/>
      </c>
      <c r="CL47" s="13" t="str">
        <f t="shared" ca="1" si="29"/>
        <v/>
      </c>
      <c r="CM47" s="13" t="str">
        <f t="shared" ca="1" si="35"/>
        <v/>
      </c>
      <c r="CN47" s="13" t="str">
        <f t="shared" ca="1" si="35"/>
        <v/>
      </c>
      <c r="CO47" s="13" t="str">
        <f t="shared" ca="1" si="35"/>
        <v/>
      </c>
      <c r="CP47" s="13" t="str">
        <f t="shared" ca="1" si="35"/>
        <v/>
      </c>
      <c r="CQ47" s="13" t="str">
        <f t="shared" ca="1" si="35"/>
        <v/>
      </c>
      <c r="CR47" s="13" t="str">
        <f t="shared" ca="1" si="35"/>
        <v/>
      </c>
      <c r="CS47" s="13" t="str">
        <f t="shared" ca="1" si="35"/>
        <v/>
      </c>
      <c r="CT47" s="13" t="str">
        <f t="shared" ca="1" si="35"/>
        <v/>
      </c>
      <c r="CU47" s="13" t="str">
        <f t="shared" ca="1" si="35"/>
        <v/>
      </c>
      <c r="CV47" s="13" t="str">
        <f t="shared" ca="1" si="35"/>
        <v/>
      </c>
      <c r="CW47" s="13" t="str">
        <f t="shared" ca="1" si="35"/>
        <v/>
      </c>
      <c r="CX47" s="13" t="str">
        <f t="shared" ca="1" si="35"/>
        <v/>
      </c>
      <c r="CY47" s="13" t="str">
        <f t="shared" ca="1" si="35"/>
        <v/>
      </c>
      <c r="CZ47" s="13" t="str">
        <f t="shared" ca="1" si="35"/>
        <v/>
      </c>
      <c r="DA47" s="13" t="str">
        <f t="shared" ca="1" si="35"/>
        <v/>
      </c>
      <c r="DB47" s="13" t="str">
        <f t="shared" ca="1" si="35"/>
        <v/>
      </c>
      <c r="DC47" s="13" t="str">
        <f t="shared" ca="1" si="35"/>
        <v/>
      </c>
      <c r="DD47" s="13" t="str">
        <f t="shared" ca="1" si="35"/>
        <v/>
      </c>
      <c r="DE47" s="13" t="str">
        <f t="shared" ca="1" si="35"/>
        <v/>
      </c>
      <c r="DF47" s="13" t="str">
        <f t="shared" ca="1" si="35"/>
        <v/>
      </c>
      <c r="DG47" s="13" t="str">
        <f t="shared" ca="1" si="35"/>
        <v/>
      </c>
      <c r="DH47" s="13" t="str">
        <f t="shared" ca="1" si="35"/>
        <v/>
      </c>
      <c r="DI47" s="13" t="str">
        <f t="shared" ca="1" si="35"/>
        <v/>
      </c>
      <c r="DJ47" s="13" t="str">
        <f t="shared" ca="1" si="35"/>
        <v/>
      </c>
      <c r="DK47" s="13" t="str">
        <f t="shared" ca="1" si="35"/>
        <v/>
      </c>
      <c r="DL47" s="13" t="str">
        <f t="shared" ca="1" si="35"/>
        <v/>
      </c>
      <c r="DM47" s="13" t="str">
        <f t="shared" ca="1" si="35"/>
        <v/>
      </c>
      <c r="DN47" s="13" t="str">
        <f t="shared" ca="1" si="35"/>
        <v/>
      </c>
      <c r="DO47" s="13" t="str">
        <f t="shared" ca="1" si="35"/>
        <v/>
      </c>
      <c r="DP47" s="13" t="str">
        <f t="shared" ca="1" si="35"/>
        <v/>
      </c>
      <c r="DQ47" s="13" t="str">
        <f t="shared" ca="1" si="35"/>
        <v/>
      </c>
      <c r="DR47" s="13" t="str">
        <f t="shared" ca="1" si="35"/>
        <v/>
      </c>
      <c r="DS47" s="13" t="str">
        <f t="shared" ca="1" si="35"/>
        <v/>
      </c>
      <c r="DT47" s="13" t="str">
        <f t="shared" ca="1" si="35"/>
        <v/>
      </c>
      <c r="DU47" s="13" t="str">
        <f t="shared" ca="1" si="35"/>
        <v/>
      </c>
      <c r="DV47" s="13" t="str">
        <f t="shared" ca="1" si="35"/>
        <v/>
      </c>
      <c r="DW47" s="13" t="str">
        <f t="shared" ca="1" si="35"/>
        <v/>
      </c>
      <c r="DX47" s="13" t="str">
        <f t="shared" ca="1" si="35"/>
        <v/>
      </c>
      <c r="DY47" s="13" t="str">
        <f t="shared" ca="1" si="35"/>
        <v/>
      </c>
      <c r="DZ47" s="13" t="str">
        <f t="shared" ca="1" si="35"/>
        <v/>
      </c>
      <c r="EA47" s="13" t="str">
        <f t="shared" ca="1" si="35"/>
        <v/>
      </c>
      <c r="EB47" s="13" t="str">
        <f t="shared" ca="1" si="35"/>
        <v/>
      </c>
      <c r="EC47" s="13" t="str">
        <f t="shared" ca="1" si="35"/>
        <v/>
      </c>
      <c r="ED47" s="13" t="str">
        <f t="shared" ca="1" si="35"/>
        <v/>
      </c>
      <c r="EE47" s="13" t="str">
        <f t="shared" ca="1" si="35"/>
        <v/>
      </c>
      <c r="EF47" s="13" t="str">
        <f t="shared" ca="1" si="35"/>
        <v/>
      </c>
      <c r="EG47" s="13" t="str">
        <f t="shared" ca="1" si="35"/>
        <v/>
      </c>
      <c r="EH47" s="13" t="str">
        <f t="shared" ca="1" si="35"/>
        <v/>
      </c>
      <c r="EI47" s="13" t="str">
        <f t="shared" ca="1" si="35"/>
        <v/>
      </c>
      <c r="EJ47" s="13" t="str">
        <f t="shared" ca="1" si="35"/>
        <v/>
      </c>
    </row>
    <row r="48" spans="1:140" s="1" customFormat="1" ht="40.15" customHeight="1" x14ac:dyDescent="0.25">
      <c r="A48" s="4"/>
      <c r="B48" s="52" t="s">
        <v>19</v>
      </c>
      <c r="C48" s="47" t="s">
        <v>6</v>
      </c>
      <c r="D48" s="71"/>
      <c r="E48" s="48"/>
      <c r="F48" s="49"/>
      <c r="G48" s="50"/>
      <c r="H48" s="51"/>
      <c r="I48" s="13" t="str">
        <f t="shared" ca="1" si="32"/>
        <v/>
      </c>
      <c r="J48" s="13" t="str">
        <f t="shared" ca="1" si="32"/>
        <v/>
      </c>
      <c r="K48" s="13" t="str">
        <f t="shared" ca="1" si="32"/>
        <v/>
      </c>
      <c r="L48" s="13" t="str">
        <f t="shared" ca="1" si="32"/>
        <v/>
      </c>
      <c r="M48" s="13" t="str">
        <f t="shared" ca="1" si="32"/>
        <v/>
      </c>
      <c r="N48" s="13" t="str">
        <f t="shared" ca="1" si="32"/>
        <v/>
      </c>
      <c r="O48" s="13" t="str">
        <f t="shared" ca="1" si="32"/>
        <v/>
      </c>
      <c r="P48" s="13" t="str">
        <f t="shared" ca="1" si="32"/>
        <v/>
      </c>
      <c r="Q48" s="13" t="str">
        <f t="shared" ca="1" si="32"/>
        <v/>
      </c>
      <c r="R48" s="13" t="str">
        <f t="shared" ca="1" si="32"/>
        <v/>
      </c>
      <c r="S48" s="13" t="str">
        <f t="shared" ca="1" si="32"/>
        <v/>
      </c>
      <c r="T48" s="13" t="str">
        <f t="shared" ca="1" si="32"/>
        <v/>
      </c>
      <c r="U48" s="13" t="str">
        <f t="shared" ca="1" si="32"/>
        <v/>
      </c>
      <c r="V48" s="13" t="str">
        <f t="shared" ca="1" si="32"/>
        <v/>
      </c>
      <c r="W48" s="13" t="str">
        <f t="shared" ca="1" si="32"/>
        <v/>
      </c>
      <c r="X48" s="13" t="str">
        <f t="shared" ca="1" si="32"/>
        <v/>
      </c>
      <c r="Y48" s="13" t="str">
        <f t="shared" ca="1" si="34"/>
        <v/>
      </c>
      <c r="Z48" s="13" t="str">
        <f t="shared" ca="1" si="34"/>
        <v/>
      </c>
      <c r="AA48" s="13" t="str">
        <f t="shared" ca="1" si="34"/>
        <v/>
      </c>
      <c r="AB48" s="13" t="str">
        <f t="shared" ca="1" si="34"/>
        <v/>
      </c>
      <c r="AC48" s="13" t="str">
        <f t="shared" ca="1" si="34"/>
        <v/>
      </c>
      <c r="AD48" s="13" t="str">
        <f t="shared" ca="1" si="34"/>
        <v/>
      </c>
      <c r="AE48" s="13" t="str">
        <f t="shared" ca="1" si="34"/>
        <v/>
      </c>
      <c r="AF48" s="13" t="str">
        <f t="shared" ca="1" si="34"/>
        <v/>
      </c>
      <c r="AG48" s="13" t="str">
        <f t="shared" ca="1" si="34"/>
        <v/>
      </c>
      <c r="AH48" s="13" t="str">
        <f t="shared" ca="1" si="34"/>
        <v/>
      </c>
      <c r="AI48" s="13" t="str">
        <f t="shared" ca="1" si="34"/>
        <v/>
      </c>
      <c r="AJ48" s="13" t="str">
        <f t="shared" ca="1" si="34"/>
        <v/>
      </c>
      <c r="AK48" s="13" t="str">
        <f t="shared" ca="1" si="34"/>
        <v/>
      </c>
      <c r="AL48" s="13" t="str">
        <f t="shared" ca="1" si="34"/>
        <v/>
      </c>
      <c r="AM48" s="13" t="str">
        <f t="shared" ca="1" si="34"/>
        <v/>
      </c>
      <c r="AN48" s="13" t="str">
        <f t="shared" ca="1" si="33"/>
        <v/>
      </c>
      <c r="AO48" s="13" t="str">
        <f t="shared" ca="1" si="33"/>
        <v/>
      </c>
      <c r="AP48" s="13" t="str">
        <f t="shared" ca="1" si="33"/>
        <v/>
      </c>
      <c r="AQ48" s="13" t="str">
        <f t="shared" ca="1" si="33"/>
        <v/>
      </c>
      <c r="AR48" s="13" t="str">
        <f t="shared" ca="1" si="33"/>
        <v/>
      </c>
      <c r="AS48" s="13" t="str">
        <f t="shared" ca="1" si="33"/>
        <v/>
      </c>
      <c r="AT48" s="13" t="str">
        <f t="shared" ca="1" si="33"/>
        <v/>
      </c>
      <c r="AU48" s="13" t="str">
        <f t="shared" ca="1" si="33"/>
        <v/>
      </c>
      <c r="AV48" s="13" t="str">
        <f t="shared" ca="1" si="33"/>
        <v/>
      </c>
      <c r="AW48" s="13" t="str">
        <f t="shared" ca="1" si="33"/>
        <v/>
      </c>
      <c r="AX48" s="13" t="str">
        <f t="shared" ca="1" si="33"/>
        <v/>
      </c>
      <c r="AY48" s="13" t="str">
        <f t="shared" ca="1" si="33"/>
        <v/>
      </c>
      <c r="AZ48" s="13" t="str">
        <f t="shared" ca="1" si="33"/>
        <v/>
      </c>
      <c r="BA48" s="13" t="str">
        <f t="shared" ca="1" si="33"/>
        <v/>
      </c>
      <c r="BB48" s="13" t="str">
        <f t="shared" ca="1" si="33"/>
        <v/>
      </c>
      <c r="BC48" s="13" t="str">
        <f t="shared" ca="1" si="33"/>
        <v/>
      </c>
      <c r="BD48" s="13" t="str">
        <f t="shared" ca="1" si="36"/>
        <v/>
      </c>
      <c r="BE48" s="13" t="str">
        <f t="shared" ca="1" si="36"/>
        <v/>
      </c>
      <c r="BF48" s="13" t="str">
        <f t="shared" ca="1" si="36"/>
        <v/>
      </c>
      <c r="BG48" s="13" t="str">
        <f t="shared" ca="1" si="36"/>
        <v/>
      </c>
      <c r="BH48" s="13" t="str">
        <f t="shared" ca="1" si="36"/>
        <v/>
      </c>
      <c r="BI48" s="13" t="str">
        <f t="shared" ca="1" si="36"/>
        <v/>
      </c>
      <c r="BJ48" s="13" t="str">
        <f t="shared" ca="1" si="36"/>
        <v/>
      </c>
      <c r="BK48" s="13" t="str">
        <f t="shared" ca="1" si="36"/>
        <v/>
      </c>
      <c r="BL48" s="13" t="str">
        <f t="shared" ca="1" si="36"/>
        <v/>
      </c>
      <c r="BM48" s="13" t="str">
        <f t="shared" ca="1" si="36"/>
        <v/>
      </c>
      <c r="BN48" s="13" t="str">
        <f t="shared" ca="1" si="36"/>
        <v/>
      </c>
      <c r="BO48" s="13" t="str">
        <f t="shared" ca="1" si="36"/>
        <v/>
      </c>
      <c r="BP48" s="13" t="str">
        <f t="shared" ca="1" si="36"/>
        <v/>
      </c>
      <c r="BQ48" s="13" t="str">
        <f t="shared" ca="1" si="36"/>
        <v/>
      </c>
      <c r="BR48" s="13" t="str">
        <f t="shared" ca="1" si="36"/>
        <v/>
      </c>
      <c r="BS48" s="13" t="str">
        <f t="shared" ca="1" si="29"/>
        <v/>
      </c>
      <c r="BT48" s="13" t="str">
        <f t="shared" ca="1" si="29"/>
        <v/>
      </c>
      <c r="BU48" s="13" t="str">
        <f t="shared" ca="1" si="29"/>
        <v/>
      </c>
      <c r="BV48" s="13" t="str">
        <f t="shared" ca="1" si="29"/>
        <v/>
      </c>
      <c r="BW48" s="13" t="str">
        <f t="shared" ca="1" si="29"/>
        <v/>
      </c>
      <c r="BX48" s="13" t="str">
        <f t="shared" ca="1" si="29"/>
        <v/>
      </c>
      <c r="BY48" s="13" t="str">
        <f t="shared" ca="1" si="29"/>
        <v/>
      </c>
      <c r="BZ48" s="13" t="str">
        <f t="shared" ca="1" si="29"/>
        <v/>
      </c>
      <c r="CA48" s="13" t="str">
        <f t="shared" ca="1" si="29"/>
        <v/>
      </c>
      <c r="CB48" s="13" t="str">
        <f t="shared" ca="1" si="29"/>
        <v/>
      </c>
      <c r="CC48" s="13" t="str">
        <f t="shared" ca="1" si="29"/>
        <v/>
      </c>
      <c r="CD48" s="13" t="str">
        <f t="shared" ca="1" si="29"/>
        <v/>
      </c>
      <c r="CE48" s="13" t="str">
        <f t="shared" ca="1" si="29"/>
        <v/>
      </c>
      <c r="CF48" s="13" t="str">
        <f t="shared" ca="1" si="29"/>
        <v/>
      </c>
      <c r="CG48" s="13" t="str">
        <f t="shared" ca="1" si="29"/>
        <v/>
      </c>
      <c r="CH48" s="13" t="str">
        <f t="shared" ca="1" si="29"/>
        <v/>
      </c>
      <c r="CI48" s="13" t="str">
        <f t="shared" ca="1" si="29"/>
        <v/>
      </c>
      <c r="CJ48" s="13" t="str">
        <f t="shared" ca="1" si="29"/>
        <v/>
      </c>
      <c r="CK48" s="13" t="str">
        <f t="shared" ca="1" si="29"/>
        <v/>
      </c>
      <c r="CL48" s="13" t="str">
        <f t="shared" ca="1" si="29"/>
        <v/>
      </c>
      <c r="CM48" s="13" t="str">
        <f t="shared" ca="1" si="35"/>
        <v/>
      </c>
      <c r="CN48" s="13" t="str">
        <f t="shared" ca="1" si="35"/>
        <v/>
      </c>
      <c r="CO48" s="13" t="str">
        <f t="shared" ca="1" si="35"/>
        <v/>
      </c>
      <c r="CP48" s="13" t="str">
        <f t="shared" ca="1" si="35"/>
        <v/>
      </c>
      <c r="CQ48" s="13" t="str">
        <f t="shared" ca="1" si="35"/>
        <v/>
      </c>
      <c r="CR48" s="13" t="str">
        <f t="shared" ca="1" si="35"/>
        <v/>
      </c>
      <c r="CS48" s="13" t="str">
        <f t="shared" ca="1" si="35"/>
        <v/>
      </c>
      <c r="CT48" s="13" t="str">
        <f t="shared" ca="1" si="35"/>
        <v/>
      </c>
      <c r="CU48" s="13" t="str">
        <f t="shared" ca="1" si="35"/>
        <v/>
      </c>
      <c r="CV48" s="13" t="str">
        <f t="shared" ca="1" si="35"/>
        <v/>
      </c>
      <c r="CW48" s="13" t="str">
        <f t="shared" ca="1" si="35"/>
        <v/>
      </c>
      <c r="CX48" s="13" t="str">
        <f t="shared" ca="1" si="35"/>
        <v/>
      </c>
      <c r="CY48" s="13" t="str">
        <f t="shared" ca="1" si="35"/>
        <v/>
      </c>
      <c r="CZ48" s="13" t="str">
        <f t="shared" ca="1" si="35"/>
        <v/>
      </c>
      <c r="DA48" s="13" t="str">
        <f t="shared" ca="1" si="35"/>
        <v/>
      </c>
      <c r="DB48" s="13" t="str">
        <f t="shared" ca="1" si="35"/>
        <v/>
      </c>
      <c r="DC48" s="13" t="str">
        <f t="shared" ca="1" si="35"/>
        <v/>
      </c>
      <c r="DD48" s="13" t="str">
        <f t="shared" ca="1" si="35"/>
        <v/>
      </c>
      <c r="DE48" s="13" t="str">
        <f t="shared" ca="1" si="35"/>
        <v/>
      </c>
      <c r="DF48" s="13" t="str">
        <f t="shared" ca="1" si="35"/>
        <v/>
      </c>
      <c r="DG48" s="13" t="str">
        <f t="shared" ca="1" si="35"/>
        <v/>
      </c>
      <c r="DH48" s="13" t="str">
        <f t="shared" ca="1" si="35"/>
        <v/>
      </c>
      <c r="DI48" s="13" t="str">
        <f t="shared" ca="1" si="35"/>
        <v/>
      </c>
      <c r="DJ48" s="13" t="str">
        <f t="shared" ca="1" si="35"/>
        <v/>
      </c>
      <c r="DK48" s="13" t="str">
        <f t="shared" ca="1" si="35"/>
        <v/>
      </c>
      <c r="DL48" s="13" t="str">
        <f t="shared" ca="1" si="35"/>
        <v/>
      </c>
      <c r="DM48" s="13" t="str">
        <f t="shared" ca="1" si="35"/>
        <v/>
      </c>
      <c r="DN48" s="13" t="str">
        <f t="shared" ca="1" si="35"/>
        <v/>
      </c>
      <c r="DO48" s="13" t="str">
        <f t="shared" ca="1" si="35"/>
        <v/>
      </c>
      <c r="DP48" s="13" t="str">
        <f t="shared" ca="1" si="35"/>
        <v/>
      </c>
      <c r="DQ48" s="13" t="str">
        <f t="shared" ca="1" si="35"/>
        <v/>
      </c>
      <c r="DR48" s="13" t="str">
        <f t="shared" ca="1" si="35"/>
        <v/>
      </c>
      <c r="DS48" s="13" t="str">
        <f t="shared" ca="1" si="35"/>
        <v/>
      </c>
      <c r="DT48" s="13" t="str">
        <f t="shared" ca="1" si="35"/>
        <v/>
      </c>
      <c r="DU48" s="13" t="str">
        <f t="shared" ca="1" si="35"/>
        <v/>
      </c>
      <c r="DV48" s="13" t="str">
        <f t="shared" ca="1" si="35"/>
        <v/>
      </c>
      <c r="DW48" s="13" t="str">
        <f t="shared" ca="1" si="35"/>
        <v/>
      </c>
      <c r="DX48" s="13" t="str">
        <f t="shared" ca="1" si="35"/>
        <v/>
      </c>
      <c r="DY48" s="13" t="str">
        <f t="shared" ca="1" si="35"/>
        <v/>
      </c>
      <c r="DZ48" s="13" t="str">
        <f t="shared" ca="1" si="35"/>
        <v/>
      </c>
      <c r="EA48" s="13" t="str">
        <f t="shared" ca="1" si="35"/>
        <v/>
      </c>
      <c r="EB48" s="13" t="str">
        <f t="shared" ca="1" si="35"/>
        <v/>
      </c>
      <c r="EC48" s="13" t="str">
        <f t="shared" ca="1" si="35"/>
        <v/>
      </c>
      <c r="ED48" s="13" t="str">
        <f t="shared" ca="1" si="35"/>
        <v/>
      </c>
      <c r="EE48" s="13" t="str">
        <f t="shared" ca="1" si="35"/>
        <v/>
      </c>
      <c r="EF48" s="13" t="str">
        <f t="shared" ca="1" si="35"/>
        <v/>
      </c>
      <c r="EG48" s="13" t="str">
        <f t="shared" ca="1" si="35"/>
        <v/>
      </c>
      <c r="EH48" s="13" t="str">
        <f t="shared" ca="1" si="35"/>
        <v/>
      </c>
      <c r="EI48" s="13" t="str">
        <f t="shared" ca="1" si="35"/>
        <v/>
      </c>
      <c r="EJ48" s="13" t="str">
        <f t="shared" ca="1" si="35"/>
        <v/>
      </c>
    </row>
    <row r="49" spans="1:140" s="1" customFormat="1" ht="40.15" customHeight="1" x14ac:dyDescent="0.25">
      <c r="A49" s="4"/>
      <c r="B49" s="52" t="s">
        <v>20</v>
      </c>
      <c r="C49" s="47" t="s">
        <v>10</v>
      </c>
      <c r="D49" s="47"/>
      <c r="E49" s="48">
        <v>0</v>
      </c>
      <c r="F49" s="49"/>
      <c r="G49" s="50"/>
      <c r="H49" s="51"/>
      <c r="I49" s="13" t="str">
        <f t="shared" ca="1" si="32"/>
        <v/>
      </c>
      <c r="J49" s="13" t="str">
        <f t="shared" ca="1" si="32"/>
        <v/>
      </c>
      <c r="K49" s="13" t="str">
        <f t="shared" ca="1" si="32"/>
        <v/>
      </c>
      <c r="L49" s="13" t="str">
        <f t="shared" ca="1" si="32"/>
        <v/>
      </c>
      <c r="M49" s="13" t="str">
        <f t="shared" ca="1" si="32"/>
        <v/>
      </c>
      <c r="N49" s="13" t="str">
        <f t="shared" ca="1" si="32"/>
        <v/>
      </c>
      <c r="O49" s="13" t="str">
        <f t="shared" ca="1" si="32"/>
        <v/>
      </c>
      <c r="P49" s="13" t="str">
        <f t="shared" ca="1" si="32"/>
        <v/>
      </c>
      <c r="Q49" s="13" t="str">
        <f t="shared" ca="1" si="32"/>
        <v/>
      </c>
      <c r="R49" s="13" t="str">
        <f t="shared" ca="1" si="32"/>
        <v/>
      </c>
      <c r="S49" s="13" t="str">
        <f t="shared" ca="1" si="32"/>
        <v/>
      </c>
      <c r="T49" s="13" t="str">
        <f t="shared" ca="1" si="32"/>
        <v/>
      </c>
      <c r="U49" s="13" t="str">
        <f t="shared" ca="1" si="32"/>
        <v/>
      </c>
      <c r="V49" s="13" t="str">
        <f t="shared" ca="1" si="32"/>
        <v/>
      </c>
      <c r="W49" s="13" t="str">
        <f t="shared" ca="1" si="32"/>
        <v/>
      </c>
      <c r="X49" s="13" t="str">
        <f t="shared" ca="1" si="32"/>
        <v/>
      </c>
      <c r="Y49" s="13" t="str">
        <f t="shared" ca="1" si="34"/>
        <v/>
      </c>
      <c r="Z49" s="13" t="str">
        <f t="shared" ca="1" si="34"/>
        <v/>
      </c>
      <c r="AA49" s="13" t="str">
        <f t="shared" ca="1" si="34"/>
        <v/>
      </c>
      <c r="AB49" s="13" t="str">
        <f t="shared" ca="1" si="34"/>
        <v/>
      </c>
      <c r="AC49" s="13" t="str">
        <f t="shared" ca="1" si="34"/>
        <v/>
      </c>
      <c r="AD49" s="13" t="str">
        <f t="shared" ca="1" si="34"/>
        <v/>
      </c>
      <c r="AE49" s="13" t="str">
        <f t="shared" ca="1" si="34"/>
        <v/>
      </c>
      <c r="AF49" s="13" t="str">
        <f t="shared" ca="1" si="34"/>
        <v/>
      </c>
      <c r="AG49" s="13" t="str">
        <f t="shared" ca="1" si="34"/>
        <v/>
      </c>
      <c r="AH49" s="13" t="str">
        <f t="shared" ca="1" si="34"/>
        <v/>
      </c>
      <c r="AI49" s="13" t="str">
        <f t="shared" ca="1" si="34"/>
        <v/>
      </c>
      <c r="AJ49" s="13" t="str">
        <f t="shared" ca="1" si="34"/>
        <v/>
      </c>
      <c r="AK49" s="13" t="str">
        <f t="shared" ca="1" si="34"/>
        <v/>
      </c>
      <c r="AL49" s="13" t="str">
        <f t="shared" ca="1" si="34"/>
        <v/>
      </c>
      <c r="AM49" s="13" t="str">
        <f t="shared" ca="1" si="34"/>
        <v/>
      </c>
      <c r="AN49" s="13" t="str">
        <f t="shared" ca="1" si="33"/>
        <v/>
      </c>
      <c r="AO49" s="13" t="str">
        <f t="shared" ca="1" si="33"/>
        <v/>
      </c>
      <c r="AP49" s="13" t="str">
        <f t="shared" ca="1" si="33"/>
        <v/>
      </c>
      <c r="AQ49" s="13" t="str">
        <f t="shared" ca="1" si="33"/>
        <v/>
      </c>
      <c r="AR49" s="13" t="str">
        <f t="shared" ca="1" si="33"/>
        <v/>
      </c>
      <c r="AS49" s="13" t="str">
        <f t="shared" ca="1" si="33"/>
        <v/>
      </c>
      <c r="AT49" s="13" t="str">
        <f t="shared" ca="1" si="33"/>
        <v/>
      </c>
      <c r="AU49" s="13" t="str">
        <f t="shared" ca="1" si="33"/>
        <v/>
      </c>
      <c r="AV49" s="13" t="str">
        <f t="shared" ca="1" si="33"/>
        <v/>
      </c>
      <c r="AW49" s="13" t="str">
        <f t="shared" ca="1" si="33"/>
        <v/>
      </c>
      <c r="AX49" s="13" t="str">
        <f t="shared" ca="1" si="33"/>
        <v/>
      </c>
      <c r="AY49" s="13" t="str">
        <f t="shared" ca="1" si="33"/>
        <v/>
      </c>
      <c r="AZ49" s="13" t="str">
        <f t="shared" ca="1" si="33"/>
        <v/>
      </c>
      <c r="BA49" s="13" t="str">
        <f t="shared" ca="1" si="33"/>
        <v/>
      </c>
      <c r="BB49" s="13" t="str">
        <f t="shared" ca="1" si="33"/>
        <v/>
      </c>
      <c r="BC49" s="13" t="str">
        <f t="shared" ca="1" si="33"/>
        <v/>
      </c>
      <c r="BD49" s="13" t="str">
        <f t="shared" ca="1" si="36"/>
        <v/>
      </c>
      <c r="BE49" s="13" t="str">
        <f t="shared" ca="1" si="36"/>
        <v/>
      </c>
      <c r="BF49" s="13" t="str">
        <f t="shared" ca="1" si="36"/>
        <v/>
      </c>
      <c r="BG49" s="13" t="str">
        <f t="shared" ca="1" si="36"/>
        <v/>
      </c>
      <c r="BH49" s="13" t="str">
        <f t="shared" ca="1" si="36"/>
        <v/>
      </c>
      <c r="BI49" s="13" t="str">
        <f t="shared" ca="1" si="36"/>
        <v/>
      </c>
      <c r="BJ49" s="13" t="str">
        <f t="shared" ca="1" si="36"/>
        <v/>
      </c>
      <c r="BK49" s="13" t="str">
        <f t="shared" ca="1" si="36"/>
        <v/>
      </c>
      <c r="BL49" s="13" t="str">
        <f t="shared" ca="1" si="36"/>
        <v/>
      </c>
      <c r="BM49" s="13" t="str">
        <f t="shared" ca="1" si="36"/>
        <v/>
      </c>
      <c r="BN49" s="13" t="str">
        <f t="shared" ca="1" si="36"/>
        <v/>
      </c>
      <c r="BO49" s="13" t="str">
        <f t="shared" ca="1" si="36"/>
        <v/>
      </c>
      <c r="BP49" s="13" t="str">
        <f t="shared" ca="1" si="36"/>
        <v/>
      </c>
      <c r="BQ49" s="13" t="str">
        <f t="shared" ca="1" si="36"/>
        <v/>
      </c>
      <c r="BR49" s="13" t="str">
        <f t="shared" ca="1" si="36"/>
        <v/>
      </c>
      <c r="BS49" s="13" t="str">
        <f t="shared" ca="1" si="29"/>
        <v/>
      </c>
      <c r="BT49" s="13" t="str">
        <f t="shared" ca="1" si="29"/>
        <v/>
      </c>
      <c r="BU49" s="13" t="str">
        <f t="shared" ca="1" si="29"/>
        <v/>
      </c>
      <c r="BV49" s="13" t="str">
        <f t="shared" ca="1" si="29"/>
        <v/>
      </c>
      <c r="BW49" s="13" t="str">
        <f t="shared" ca="1" si="29"/>
        <v/>
      </c>
      <c r="BX49" s="13" t="str">
        <f t="shared" ca="1" si="29"/>
        <v/>
      </c>
      <c r="BY49" s="13" t="str">
        <f t="shared" ca="1" si="29"/>
        <v/>
      </c>
      <c r="BZ49" s="13" t="str">
        <f t="shared" ca="1" si="29"/>
        <v/>
      </c>
      <c r="CA49" s="13" t="str">
        <f t="shared" ref="BS49:CM50" ca="1" si="37">IF(AND($C49="目標",CA$7&gt;=$F49,CA$7&lt;=$F49+$G49-1),2,IF(AND($C49="マイルストーン",CA$7&gt;=$F49,CA$7&lt;=$F49+$G49-1),1,""))</f>
        <v/>
      </c>
      <c r="CB49" s="13" t="str">
        <f t="shared" ca="1" si="37"/>
        <v/>
      </c>
      <c r="CC49" s="13" t="str">
        <f t="shared" ca="1" si="37"/>
        <v/>
      </c>
      <c r="CD49" s="13" t="str">
        <f t="shared" ca="1" si="37"/>
        <v/>
      </c>
      <c r="CE49" s="13" t="str">
        <f t="shared" ca="1" si="37"/>
        <v/>
      </c>
      <c r="CF49" s="13" t="str">
        <f t="shared" ca="1" si="37"/>
        <v/>
      </c>
      <c r="CG49" s="13" t="str">
        <f t="shared" ca="1" si="37"/>
        <v/>
      </c>
      <c r="CH49" s="13" t="str">
        <f t="shared" ca="1" si="37"/>
        <v/>
      </c>
      <c r="CI49" s="13" t="str">
        <f t="shared" ca="1" si="37"/>
        <v/>
      </c>
      <c r="CJ49" s="13" t="str">
        <f t="shared" ca="1" si="37"/>
        <v/>
      </c>
      <c r="CK49" s="13" t="str">
        <f t="shared" ca="1" si="37"/>
        <v/>
      </c>
      <c r="CL49" s="13" t="str">
        <f t="shared" ca="1" si="37"/>
        <v/>
      </c>
      <c r="CM49" s="13" t="str">
        <f t="shared" ca="1" si="37"/>
        <v/>
      </c>
      <c r="CN49" s="13" t="str">
        <f t="shared" ca="1" si="35"/>
        <v/>
      </c>
      <c r="CO49" s="13" t="str">
        <f t="shared" ca="1" si="35"/>
        <v/>
      </c>
      <c r="CP49" s="13" t="str">
        <f t="shared" ca="1" si="35"/>
        <v/>
      </c>
      <c r="CQ49" s="13" t="str">
        <f t="shared" ca="1" si="35"/>
        <v/>
      </c>
      <c r="CR49" s="13" t="str">
        <f t="shared" ca="1" si="35"/>
        <v/>
      </c>
      <c r="CS49" s="13" t="str">
        <f t="shared" ca="1" si="35"/>
        <v/>
      </c>
      <c r="CT49" s="13" t="str">
        <f t="shared" ca="1" si="35"/>
        <v/>
      </c>
      <c r="CU49" s="13" t="str">
        <f t="shared" ca="1" si="35"/>
        <v/>
      </c>
      <c r="CV49" s="13" t="str">
        <f t="shared" ca="1" si="35"/>
        <v/>
      </c>
      <c r="CW49" s="13" t="str">
        <f t="shared" ca="1" si="35"/>
        <v/>
      </c>
      <c r="CX49" s="13" t="str">
        <f t="shared" ca="1" si="35"/>
        <v/>
      </c>
      <c r="CY49" s="13" t="str">
        <f t="shared" ca="1" si="35"/>
        <v/>
      </c>
      <c r="CZ49" s="13" t="str">
        <f t="shared" ca="1" si="35"/>
        <v/>
      </c>
      <c r="DA49" s="13" t="str">
        <f t="shared" ca="1" si="35"/>
        <v/>
      </c>
      <c r="DB49" s="13" t="str">
        <f t="shared" ca="1" si="35"/>
        <v/>
      </c>
      <c r="DC49" s="13" t="str">
        <f t="shared" ca="1" si="35"/>
        <v/>
      </c>
      <c r="DD49" s="13" t="str">
        <f t="shared" ca="1" si="35"/>
        <v/>
      </c>
      <c r="DE49" s="13" t="str">
        <f t="shared" ca="1" si="35"/>
        <v/>
      </c>
      <c r="DF49" s="13" t="str">
        <f t="shared" ca="1" si="35"/>
        <v/>
      </c>
      <c r="DG49" s="13" t="str">
        <f t="shared" ca="1" si="35"/>
        <v/>
      </c>
      <c r="DH49" s="13" t="str">
        <f t="shared" ca="1" si="35"/>
        <v/>
      </c>
      <c r="DI49" s="13" t="str">
        <f t="shared" ca="1" si="35"/>
        <v/>
      </c>
      <c r="DJ49" s="13" t="str">
        <f t="shared" ca="1" si="35"/>
        <v/>
      </c>
      <c r="DK49" s="13" t="str">
        <f t="shared" ca="1" si="35"/>
        <v/>
      </c>
      <c r="DL49" s="13" t="str">
        <f t="shared" ca="1" si="35"/>
        <v/>
      </c>
      <c r="DM49" s="13" t="str">
        <f t="shared" ca="1" si="35"/>
        <v/>
      </c>
      <c r="DN49" s="13" t="str">
        <f t="shared" ca="1" si="35"/>
        <v/>
      </c>
      <c r="DO49" s="13" t="str">
        <f t="shared" ca="1" si="35"/>
        <v/>
      </c>
      <c r="DP49" s="13" t="str">
        <f t="shared" ca="1" si="35"/>
        <v/>
      </c>
      <c r="DQ49" s="13" t="str">
        <f t="shared" ca="1" si="35"/>
        <v/>
      </c>
      <c r="DR49" s="13" t="str">
        <f t="shared" ca="1" si="35"/>
        <v/>
      </c>
      <c r="DS49" s="13" t="str">
        <f t="shared" ca="1" si="35"/>
        <v/>
      </c>
      <c r="DT49" s="13" t="str">
        <f t="shared" ca="1" si="35"/>
        <v/>
      </c>
      <c r="DU49" s="13" t="str">
        <f t="shared" ca="1" si="35"/>
        <v/>
      </c>
      <c r="DV49" s="13" t="str">
        <f t="shared" ca="1" si="35"/>
        <v/>
      </c>
      <c r="DW49" s="13" t="str">
        <f t="shared" ca="1" si="35"/>
        <v/>
      </c>
      <c r="DX49" s="13" t="str">
        <f t="shared" ca="1" si="35"/>
        <v/>
      </c>
      <c r="DY49" s="13" t="str">
        <f t="shared" ca="1" si="35"/>
        <v/>
      </c>
      <c r="DZ49" s="13" t="str">
        <f t="shared" ca="1" si="35"/>
        <v/>
      </c>
      <c r="EA49" s="13" t="str">
        <f t="shared" ca="1" si="35"/>
        <v/>
      </c>
      <c r="EB49" s="13" t="str">
        <f t="shared" ca="1" si="35"/>
        <v/>
      </c>
      <c r="EC49" s="13" t="str">
        <f t="shared" ca="1" si="35"/>
        <v/>
      </c>
      <c r="ED49" s="13" t="str">
        <f t="shared" ca="1" si="35"/>
        <v/>
      </c>
      <c r="EE49" s="13" t="str">
        <f t="shared" ca="1" si="35"/>
        <v/>
      </c>
      <c r="EF49" s="13" t="str">
        <f t="shared" ca="1" si="35"/>
        <v/>
      </c>
      <c r="EG49" s="13" t="str">
        <f t="shared" ca="1" si="35"/>
        <v/>
      </c>
      <c r="EH49" s="13" t="str">
        <f t="shared" ca="1" si="35"/>
        <v/>
      </c>
      <c r="EI49" s="13" t="str">
        <f t="shared" ca="1" si="35"/>
        <v/>
      </c>
      <c r="EJ49" s="13" t="str">
        <f t="shared" ca="1" si="35"/>
        <v/>
      </c>
    </row>
    <row r="50" spans="1:140" s="1" customFormat="1" ht="40.15" customHeight="1" x14ac:dyDescent="0.25">
      <c r="A50" s="4"/>
      <c r="B50" s="52"/>
      <c r="C50" s="47"/>
      <c r="D50" s="47"/>
      <c r="E50" s="48"/>
      <c r="F50" s="49"/>
      <c r="G50" s="50"/>
      <c r="H50" s="51"/>
      <c r="I50" s="13" t="str">
        <f t="shared" ca="1" si="32"/>
        <v/>
      </c>
      <c r="J50" s="13" t="str">
        <f t="shared" ca="1" si="32"/>
        <v/>
      </c>
      <c r="K50" s="13" t="str">
        <f t="shared" ca="1" si="32"/>
        <v/>
      </c>
      <c r="L50" s="13" t="str">
        <f t="shared" ca="1" si="32"/>
        <v/>
      </c>
      <c r="M50" s="13" t="str">
        <f t="shared" ca="1" si="32"/>
        <v/>
      </c>
      <c r="N50" s="13" t="str">
        <f t="shared" ca="1" si="32"/>
        <v/>
      </c>
      <c r="O50" s="13" t="str">
        <f t="shared" ca="1" si="32"/>
        <v/>
      </c>
      <c r="P50" s="13" t="str">
        <f t="shared" ca="1" si="32"/>
        <v/>
      </c>
      <c r="Q50" s="13" t="str">
        <f t="shared" ca="1" si="32"/>
        <v/>
      </c>
      <c r="R50" s="13" t="str">
        <f t="shared" ca="1" si="32"/>
        <v/>
      </c>
      <c r="S50" s="13" t="str">
        <f t="shared" ca="1" si="32"/>
        <v/>
      </c>
      <c r="T50" s="13" t="str">
        <f t="shared" ca="1" si="32"/>
        <v/>
      </c>
      <c r="U50" s="13" t="str">
        <f t="shared" ca="1" si="32"/>
        <v/>
      </c>
      <c r="V50" s="13" t="str">
        <f t="shared" ca="1" si="32"/>
        <v/>
      </c>
      <c r="W50" s="13" t="str">
        <f t="shared" ca="1" si="32"/>
        <v/>
      </c>
      <c r="X50" s="13" t="str">
        <f t="shared" ca="1" si="32"/>
        <v/>
      </c>
      <c r="Y50" s="13" t="str">
        <f t="shared" ca="1" si="34"/>
        <v/>
      </c>
      <c r="Z50" s="13" t="str">
        <f t="shared" ca="1" si="34"/>
        <v/>
      </c>
      <c r="AA50" s="13" t="str">
        <f t="shared" ca="1" si="34"/>
        <v/>
      </c>
      <c r="AB50" s="13" t="str">
        <f t="shared" ca="1" si="34"/>
        <v/>
      </c>
      <c r="AC50" s="13" t="str">
        <f t="shared" ca="1" si="34"/>
        <v/>
      </c>
      <c r="AD50" s="13" t="str">
        <f t="shared" ca="1" si="34"/>
        <v/>
      </c>
      <c r="AE50" s="13" t="str">
        <f t="shared" ca="1" si="34"/>
        <v/>
      </c>
      <c r="AF50" s="13" t="str">
        <f t="shared" ca="1" si="34"/>
        <v/>
      </c>
      <c r="AG50" s="13" t="str">
        <f t="shared" ca="1" si="34"/>
        <v/>
      </c>
      <c r="AH50" s="13" t="str">
        <f t="shared" ca="1" si="34"/>
        <v/>
      </c>
      <c r="AI50" s="13" t="str">
        <f t="shared" ca="1" si="34"/>
        <v/>
      </c>
      <c r="AJ50" s="13" t="str">
        <f t="shared" ca="1" si="34"/>
        <v/>
      </c>
      <c r="AK50" s="13" t="str">
        <f t="shared" ca="1" si="34"/>
        <v/>
      </c>
      <c r="AL50" s="13" t="str">
        <f t="shared" ca="1" si="34"/>
        <v/>
      </c>
      <c r="AM50" s="13" t="str">
        <f t="shared" ca="1" si="34"/>
        <v/>
      </c>
      <c r="AN50" s="13" t="str">
        <f t="shared" ca="1" si="33"/>
        <v/>
      </c>
      <c r="AO50" s="13" t="str">
        <f t="shared" ca="1" si="33"/>
        <v/>
      </c>
      <c r="AP50" s="13" t="str">
        <f t="shared" ca="1" si="33"/>
        <v/>
      </c>
      <c r="AQ50" s="13" t="str">
        <f t="shared" ca="1" si="33"/>
        <v/>
      </c>
      <c r="AR50" s="13" t="str">
        <f t="shared" ca="1" si="33"/>
        <v/>
      </c>
      <c r="AS50" s="13" t="str">
        <f t="shared" ca="1" si="33"/>
        <v/>
      </c>
      <c r="AT50" s="13" t="str">
        <f t="shared" ca="1" si="33"/>
        <v/>
      </c>
      <c r="AU50" s="13" t="str">
        <f t="shared" ca="1" si="33"/>
        <v/>
      </c>
      <c r="AV50" s="13" t="str">
        <f t="shared" ca="1" si="33"/>
        <v/>
      </c>
      <c r="AW50" s="13" t="str">
        <f t="shared" ca="1" si="33"/>
        <v/>
      </c>
      <c r="AX50" s="13" t="str">
        <f t="shared" ca="1" si="33"/>
        <v/>
      </c>
      <c r="AY50" s="13" t="str">
        <f t="shared" ca="1" si="33"/>
        <v/>
      </c>
      <c r="AZ50" s="13" t="str">
        <f t="shared" ca="1" si="33"/>
        <v/>
      </c>
      <c r="BA50" s="13" t="str">
        <f t="shared" ca="1" si="33"/>
        <v/>
      </c>
      <c r="BB50" s="13" t="str">
        <f t="shared" ca="1" si="33"/>
        <v/>
      </c>
      <c r="BC50" s="13" t="str">
        <f t="shared" ca="1" si="33"/>
        <v/>
      </c>
      <c r="BD50" s="13" t="str">
        <f t="shared" ca="1" si="36"/>
        <v/>
      </c>
      <c r="BE50" s="13" t="str">
        <f t="shared" ca="1" si="36"/>
        <v/>
      </c>
      <c r="BF50" s="13" t="str">
        <f t="shared" ca="1" si="36"/>
        <v/>
      </c>
      <c r="BG50" s="13" t="str">
        <f t="shared" ca="1" si="36"/>
        <v/>
      </c>
      <c r="BH50" s="13" t="str">
        <f t="shared" ca="1" si="36"/>
        <v/>
      </c>
      <c r="BI50" s="13" t="str">
        <f t="shared" ca="1" si="36"/>
        <v/>
      </c>
      <c r="BJ50" s="13" t="str">
        <f t="shared" ca="1" si="36"/>
        <v/>
      </c>
      <c r="BK50" s="13" t="str">
        <f t="shared" ca="1" si="36"/>
        <v/>
      </c>
      <c r="BL50" s="13" t="str">
        <f t="shared" ca="1" si="36"/>
        <v/>
      </c>
      <c r="BM50" s="13" t="str">
        <f t="shared" ca="1" si="36"/>
        <v/>
      </c>
      <c r="BN50" s="13" t="str">
        <f t="shared" ca="1" si="36"/>
        <v/>
      </c>
      <c r="BO50" s="13" t="str">
        <f t="shared" ca="1" si="36"/>
        <v/>
      </c>
      <c r="BP50" s="13" t="str">
        <f t="shared" ca="1" si="36"/>
        <v/>
      </c>
      <c r="BQ50" s="13" t="str">
        <f t="shared" ca="1" si="36"/>
        <v/>
      </c>
      <c r="BR50" s="13" t="str">
        <f t="shared" ca="1" si="36"/>
        <v/>
      </c>
      <c r="BS50" s="13" t="str">
        <f t="shared" ca="1" si="37"/>
        <v/>
      </c>
      <c r="BT50" s="13" t="str">
        <f t="shared" ca="1" si="37"/>
        <v/>
      </c>
      <c r="BU50" s="13" t="str">
        <f t="shared" ca="1" si="37"/>
        <v/>
      </c>
      <c r="BV50" s="13" t="str">
        <f t="shared" ca="1" si="37"/>
        <v/>
      </c>
      <c r="BW50" s="13" t="str">
        <f t="shared" ca="1" si="37"/>
        <v/>
      </c>
      <c r="BX50" s="13" t="str">
        <f t="shared" ca="1" si="37"/>
        <v/>
      </c>
      <c r="BY50" s="13" t="str">
        <f t="shared" ca="1" si="37"/>
        <v/>
      </c>
      <c r="BZ50" s="13" t="str">
        <f t="shared" ca="1" si="37"/>
        <v/>
      </c>
      <c r="CA50" s="13" t="str">
        <f t="shared" ca="1" si="37"/>
        <v/>
      </c>
      <c r="CB50" s="13" t="str">
        <f t="shared" ca="1" si="37"/>
        <v/>
      </c>
      <c r="CC50" s="13" t="str">
        <f t="shared" ca="1" si="37"/>
        <v/>
      </c>
      <c r="CD50" s="13" t="str">
        <f t="shared" ca="1" si="37"/>
        <v/>
      </c>
      <c r="CE50" s="13" t="str">
        <f t="shared" ca="1" si="37"/>
        <v/>
      </c>
      <c r="CF50" s="13" t="str">
        <f t="shared" ca="1" si="37"/>
        <v/>
      </c>
      <c r="CG50" s="13" t="str">
        <f t="shared" ca="1" si="37"/>
        <v/>
      </c>
      <c r="CH50" s="13" t="str">
        <f t="shared" ca="1" si="37"/>
        <v/>
      </c>
      <c r="CI50" s="13" t="str">
        <f t="shared" ca="1" si="37"/>
        <v/>
      </c>
      <c r="CJ50" s="13" t="str">
        <f t="shared" ca="1" si="37"/>
        <v/>
      </c>
      <c r="CK50" s="13" t="str">
        <f t="shared" ca="1" si="37"/>
        <v/>
      </c>
      <c r="CL50" s="13" t="str">
        <f t="shared" ca="1" si="37"/>
        <v/>
      </c>
      <c r="CM50" s="13" t="str">
        <f t="shared" ca="1" si="35"/>
        <v/>
      </c>
      <c r="CN50" s="13" t="str">
        <f t="shared" ca="1" si="35"/>
        <v/>
      </c>
      <c r="CO50" s="13" t="str">
        <f t="shared" ca="1" si="35"/>
        <v/>
      </c>
      <c r="CP50" s="13" t="str">
        <f t="shared" ca="1" si="35"/>
        <v/>
      </c>
      <c r="CQ50" s="13" t="str">
        <f t="shared" ca="1" si="35"/>
        <v/>
      </c>
      <c r="CR50" s="13" t="str">
        <f t="shared" ca="1" si="35"/>
        <v/>
      </c>
      <c r="CS50" s="13" t="str">
        <f t="shared" ca="1" si="35"/>
        <v/>
      </c>
      <c r="CT50" s="13" t="str">
        <f t="shared" ca="1" si="35"/>
        <v/>
      </c>
      <c r="CU50" s="13" t="str">
        <f t="shared" ca="1" si="35"/>
        <v/>
      </c>
      <c r="CV50" s="13" t="str">
        <f t="shared" ca="1" si="35"/>
        <v/>
      </c>
      <c r="CW50" s="13" t="str">
        <f t="shared" ca="1" si="35"/>
        <v/>
      </c>
      <c r="CX50" s="13" t="str">
        <f t="shared" ca="1" si="35"/>
        <v/>
      </c>
      <c r="CY50" s="13" t="str">
        <f t="shared" ca="1" si="35"/>
        <v/>
      </c>
      <c r="CZ50" s="13" t="str">
        <f t="shared" ca="1" si="35"/>
        <v/>
      </c>
      <c r="DA50" s="13" t="str">
        <f t="shared" ca="1" si="35"/>
        <v/>
      </c>
      <c r="DB50" s="13" t="str">
        <f t="shared" ca="1" si="35"/>
        <v/>
      </c>
      <c r="DC50" s="13" t="str">
        <f t="shared" ca="1" si="35"/>
        <v/>
      </c>
      <c r="DD50" s="13" t="str">
        <f t="shared" ca="1" si="35"/>
        <v/>
      </c>
      <c r="DE50" s="13" t="str">
        <f t="shared" ca="1" si="35"/>
        <v/>
      </c>
      <c r="DF50" s="13" t="str">
        <f t="shared" ca="1" si="35"/>
        <v/>
      </c>
      <c r="DG50" s="13" t="str">
        <f t="shared" ca="1" si="35"/>
        <v/>
      </c>
      <c r="DH50" s="13" t="str">
        <f t="shared" ca="1" si="35"/>
        <v/>
      </c>
      <c r="DI50" s="13" t="str">
        <f t="shared" ca="1" si="35"/>
        <v/>
      </c>
      <c r="DJ50" s="13" t="str">
        <f t="shared" ca="1" si="35"/>
        <v/>
      </c>
      <c r="DK50" s="13" t="str">
        <f t="shared" ca="1" si="35"/>
        <v/>
      </c>
      <c r="DL50" s="13" t="str">
        <f t="shared" ca="1" si="35"/>
        <v/>
      </c>
      <c r="DM50" s="13" t="str">
        <f t="shared" ca="1" si="35"/>
        <v/>
      </c>
      <c r="DN50" s="13" t="str">
        <f t="shared" ca="1" si="35"/>
        <v/>
      </c>
      <c r="DO50" s="13" t="str">
        <f t="shared" ca="1" si="35"/>
        <v/>
      </c>
      <c r="DP50" s="13" t="str">
        <f t="shared" ca="1" si="35"/>
        <v/>
      </c>
      <c r="DQ50" s="13" t="str">
        <f t="shared" ca="1" si="35"/>
        <v/>
      </c>
      <c r="DR50" s="13" t="str">
        <f t="shared" ca="1" si="35"/>
        <v/>
      </c>
      <c r="DS50" s="13" t="str">
        <f t="shared" ca="1" si="35"/>
        <v/>
      </c>
      <c r="DT50" s="13" t="str">
        <f t="shared" ca="1" si="35"/>
        <v/>
      </c>
      <c r="DU50" s="13" t="str">
        <f t="shared" ca="1" si="35"/>
        <v/>
      </c>
      <c r="DV50" s="13" t="str">
        <f t="shared" ca="1" si="35"/>
        <v/>
      </c>
      <c r="DW50" s="13" t="str">
        <f t="shared" ca="1" si="35"/>
        <v/>
      </c>
      <c r="DX50" s="13" t="str">
        <f t="shared" ca="1" si="35"/>
        <v/>
      </c>
      <c r="DY50" s="13" t="str">
        <f t="shared" ca="1" si="35"/>
        <v/>
      </c>
      <c r="DZ50" s="13" t="str">
        <f t="shared" ca="1" si="35"/>
        <v/>
      </c>
      <c r="EA50" s="13" t="str">
        <f t="shared" ca="1" si="35"/>
        <v/>
      </c>
      <c r="EB50" s="13" t="str">
        <f t="shared" ca="1" si="35"/>
        <v/>
      </c>
      <c r="EC50" s="13" t="str">
        <f t="shared" ca="1" si="35"/>
        <v/>
      </c>
      <c r="ED50" s="13" t="str">
        <f t="shared" ca="1" si="35"/>
        <v/>
      </c>
      <c r="EE50" s="13" t="str">
        <f t="shared" ca="1" si="35"/>
        <v/>
      </c>
      <c r="EF50" s="13" t="str">
        <f t="shared" ca="1" si="35"/>
        <v/>
      </c>
      <c r="EG50" s="13" t="str">
        <f t="shared" ca="1" si="35"/>
        <v/>
      </c>
      <c r="EH50" s="13" t="str">
        <f t="shared" ca="1" si="35"/>
        <v/>
      </c>
      <c r="EI50" s="13" t="str">
        <f t="shared" ca="1" si="35"/>
        <v/>
      </c>
      <c r="EJ50" s="13" t="str">
        <f t="shared" ca="1" si="35"/>
        <v/>
      </c>
    </row>
    <row r="51" spans="1:140" s="1" customFormat="1" ht="40.15" customHeight="1" x14ac:dyDescent="0.25">
      <c r="A51" s="5"/>
      <c r="B51" s="53" t="s">
        <v>4</v>
      </c>
      <c r="C51" s="54"/>
      <c r="D51" s="54"/>
      <c r="E51" s="28"/>
      <c r="F51" s="55"/>
      <c r="G51" s="56"/>
      <c r="H51" s="51"/>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c r="AT51" s="18"/>
      <c r="AU51" s="18"/>
      <c r="AV51" s="18"/>
      <c r="AW51" s="18"/>
      <c r="AX51" s="18"/>
      <c r="AY51" s="18"/>
      <c r="AZ51" s="18"/>
      <c r="BA51" s="18"/>
      <c r="BB51" s="18"/>
      <c r="BC51" s="18"/>
      <c r="BD51" s="18"/>
      <c r="BE51" s="18"/>
      <c r="BF51" s="18"/>
      <c r="BG51" s="18"/>
      <c r="BH51" s="18"/>
      <c r="BI51" s="18"/>
      <c r="BJ51" s="18"/>
      <c r="BK51" s="18"/>
      <c r="BL51" s="18"/>
      <c r="BM51" s="18"/>
      <c r="BN51" s="18"/>
      <c r="BO51" s="18"/>
      <c r="BP51" s="18"/>
      <c r="BQ51" s="18"/>
      <c r="BR51" s="18"/>
      <c r="BS51" s="18"/>
      <c r="BT51" s="18"/>
      <c r="BU51" s="18"/>
      <c r="BV51" s="18"/>
      <c r="BW51" s="18"/>
      <c r="BX51" s="18"/>
      <c r="BY51" s="18"/>
      <c r="BZ51" s="18"/>
      <c r="CA51" s="18"/>
      <c r="CB51" s="18"/>
      <c r="CC51" s="18"/>
      <c r="CD51" s="18"/>
      <c r="CE51" s="18"/>
      <c r="CF51" s="18"/>
      <c r="CG51" s="18"/>
      <c r="CH51" s="18"/>
      <c r="CI51" s="18"/>
      <c r="CJ51" s="18"/>
      <c r="CK51" s="18"/>
      <c r="CL51" s="18"/>
      <c r="CM51" s="18"/>
      <c r="CN51" s="18"/>
      <c r="CO51" s="18"/>
      <c r="CP51" s="18"/>
      <c r="CQ51" s="18"/>
      <c r="CR51" s="18"/>
      <c r="CS51" s="18"/>
      <c r="CT51" s="18"/>
      <c r="CU51" s="18"/>
      <c r="CV51" s="18"/>
      <c r="CW51" s="18"/>
      <c r="CX51" s="18"/>
      <c r="CY51" s="18"/>
      <c r="CZ51" s="18"/>
      <c r="DA51" s="18"/>
      <c r="DB51" s="18"/>
      <c r="DC51" s="18"/>
      <c r="DD51" s="18"/>
      <c r="DE51" s="18"/>
      <c r="DF51" s="18"/>
      <c r="DG51" s="18"/>
      <c r="DH51" s="18"/>
      <c r="DI51" s="18"/>
      <c r="DJ51" s="18"/>
      <c r="DK51" s="18"/>
      <c r="DL51" s="18"/>
      <c r="DM51" s="18"/>
      <c r="DN51" s="18"/>
      <c r="DO51" s="18"/>
      <c r="DP51" s="18"/>
      <c r="DQ51" s="18"/>
      <c r="DR51" s="18"/>
      <c r="DS51" s="18"/>
      <c r="DT51" s="18"/>
      <c r="DU51" s="18"/>
      <c r="DV51" s="18"/>
      <c r="DW51" s="18"/>
      <c r="DX51" s="18"/>
      <c r="DY51" s="18"/>
      <c r="DZ51" s="18"/>
      <c r="EA51" s="18"/>
      <c r="EB51" s="18"/>
      <c r="EC51" s="18"/>
      <c r="ED51" s="18"/>
      <c r="EE51" s="18"/>
      <c r="EF51" s="18"/>
      <c r="EG51" s="18"/>
      <c r="EH51" s="18"/>
      <c r="EI51" s="18"/>
      <c r="EJ51" s="18"/>
    </row>
    <row r="52" spans="1:140" ht="30" customHeight="1" x14ac:dyDescent="0.25">
      <c r="D52" s="57"/>
      <c r="G52" s="58"/>
      <c r="H52" s="3"/>
    </row>
    <row r="53" spans="1:140" ht="30" customHeight="1" x14ac:dyDescent="0.25">
      <c r="D53" s="59"/>
    </row>
  </sheetData>
  <mergeCells count="8">
    <mergeCell ref="X4:AA4"/>
    <mergeCell ref="AC4:AF4"/>
    <mergeCell ref="B2:H2"/>
    <mergeCell ref="I2:N2"/>
    <mergeCell ref="O2:T2"/>
    <mergeCell ref="I4:L4"/>
    <mergeCell ref="N4:Q4"/>
    <mergeCell ref="S4:V4"/>
  </mergeCells>
  <phoneticPr fontId="35"/>
  <conditionalFormatting sqref="E9:E22 E50:E51">
    <cfRule type="dataBar" priority="165">
      <dataBar>
        <cfvo type="num" val="0"/>
        <cfvo type="num" val="1"/>
        <color theme="9" tint="0.59999389629810485"/>
      </dataBar>
      <extLst>
        <ext xmlns:x14="http://schemas.microsoft.com/office/spreadsheetml/2009/9/main" uri="{B025F937-C7B1-47D3-B67F-A62EFF666E3E}">
          <x14:id>{BF2B6452-7C84-42DF-BE5D-B3B8CB5F5069}</x14:id>
        </ext>
      </extLst>
    </cfRule>
  </conditionalFormatting>
  <conditionalFormatting sqref="I7:BL25 I51:BL51">
    <cfRule type="expression" dxfId="88" priority="161">
      <formula>AND(TODAY()&gt;=I$7,TODAY()&lt;J$7)</formula>
    </cfRule>
  </conditionalFormatting>
  <conditionalFormatting sqref="I6:AM6">
    <cfRule type="expression" dxfId="87" priority="164">
      <formula>I$7&lt;=EOMONTH($I$7,0)</formula>
    </cfRule>
  </conditionalFormatting>
  <conditionalFormatting sqref="J6:BL6">
    <cfRule type="expression" dxfId="86" priority="163">
      <formula>AND(J$7&lt;=EOMONTH($I$7,2),J$7&gt;EOMONTH($I$7,0),J$7&gt;EOMONTH($I$7,1))</formula>
    </cfRule>
  </conditionalFormatting>
  <conditionalFormatting sqref="I6:BL6">
    <cfRule type="expression" dxfId="85" priority="162">
      <formula>AND(I$7&lt;=EOMONTH($I$7,1),I$7&gt;EOMONTH($I$7,0))</formula>
    </cfRule>
  </conditionalFormatting>
  <conditionalFormatting sqref="I10:BL25">
    <cfRule type="expression" dxfId="84" priority="167" stopIfTrue="1">
      <formula>AND($C10="低リスク",I$7&gt;=$F10,I$7&lt;=$F10+$G10-1)</formula>
    </cfRule>
    <cfRule type="expression" dxfId="83" priority="168" stopIfTrue="1">
      <formula>AND($C10="高リスク",I$7&gt;=$F10,I$7&lt;=$F10+$G10-1)</formula>
    </cfRule>
    <cfRule type="expression" dxfId="82" priority="169" stopIfTrue="1">
      <formula>AND($C10="順調",I$7&gt;=$F10,I$7&lt;=$F10+$G10-1)</formula>
    </cfRule>
    <cfRule type="expression" dxfId="81" priority="170" stopIfTrue="1">
      <formula>AND($C10="中リスク",I$7&gt;=$F10,I$7&lt;=$F10+$G10-1)</formula>
    </cfRule>
    <cfRule type="expression" dxfId="80" priority="171" stopIfTrue="1">
      <formula>AND(LEN($C10)=0,I$7&gt;=$F10,I$7&lt;=$F10+$G10-1)</formula>
    </cfRule>
  </conditionalFormatting>
  <conditionalFormatting sqref="E23:E25">
    <cfRule type="dataBar" priority="160">
      <dataBar>
        <cfvo type="num" val="0"/>
        <cfvo type="num" val="1"/>
        <color theme="9" tint="0.59999389629810485"/>
      </dataBar>
      <extLst>
        <ext xmlns:x14="http://schemas.microsoft.com/office/spreadsheetml/2009/9/main" uri="{B025F937-C7B1-47D3-B67F-A62EFF666E3E}">
          <x14:id>{273B6C16-5292-42C6-BF78-526C7BC34565}</x14:id>
        </ext>
      </extLst>
    </cfRule>
  </conditionalFormatting>
  <conditionalFormatting sqref="I26:BL28">
    <cfRule type="expression" dxfId="79" priority="153">
      <formula>AND(TODAY()&gt;=I$7,TODAY()&lt;J$7)</formula>
    </cfRule>
  </conditionalFormatting>
  <conditionalFormatting sqref="I26:BL28">
    <cfRule type="expression" dxfId="78" priority="154" stopIfTrue="1">
      <formula>AND($C26="低リスク",I$7&gt;=$F26,I$7&lt;=$F26+$G26-1)</formula>
    </cfRule>
    <cfRule type="expression" dxfId="77" priority="155" stopIfTrue="1">
      <formula>AND($C26="高リスク",I$7&gt;=$F26,I$7&lt;=$F26+$G26-1)</formula>
    </cfRule>
    <cfRule type="expression" dxfId="76" priority="156" stopIfTrue="1">
      <formula>AND($C26="順調",I$7&gt;=$F26,I$7&lt;=$F26+$G26-1)</formula>
    </cfRule>
    <cfRule type="expression" dxfId="75" priority="157" stopIfTrue="1">
      <formula>AND($C26="中リスク",I$7&gt;=$F26,I$7&lt;=$F26+$G26-1)</formula>
    </cfRule>
    <cfRule type="expression" dxfId="74" priority="158" stopIfTrue="1">
      <formula>AND(LEN($C26)=0,I$7&gt;=$F26,I$7&lt;=$F26+$G26-1)</formula>
    </cfRule>
  </conditionalFormatting>
  <conditionalFormatting sqref="E26:E28">
    <cfRule type="dataBar" priority="152">
      <dataBar>
        <cfvo type="num" val="0"/>
        <cfvo type="num" val="1"/>
        <color theme="9" tint="0.59999389629810485"/>
      </dataBar>
      <extLst>
        <ext xmlns:x14="http://schemas.microsoft.com/office/spreadsheetml/2009/9/main" uri="{B025F937-C7B1-47D3-B67F-A62EFF666E3E}">
          <x14:id>{A2A5CF5E-24AB-4033-94B9-21850C465FE9}</x14:id>
        </ext>
      </extLst>
    </cfRule>
  </conditionalFormatting>
  <conditionalFormatting sqref="I29:BL29">
    <cfRule type="expression" dxfId="73" priority="145">
      <formula>AND(TODAY()&gt;=I$7,TODAY()&lt;J$7)</formula>
    </cfRule>
  </conditionalFormatting>
  <conditionalFormatting sqref="I29:BL29">
    <cfRule type="expression" dxfId="72" priority="146" stopIfTrue="1">
      <formula>AND($C29="低リスク",I$7&gt;=$F29,I$7&lt;=$F29+$G29-1)</formula>
    </cfRule>
    <cfRule type="expression" dxfId="71" priority="147" stopIfTrue="1">
      <formula>AND($C29="高リスク",I$7&gt;=$F29,I$7&lt;=$F29+$G29-1)</formula>
    </cfRule>
    <cfRule type="expression" dxfId="70" priority="148" stopIfTrue="1">
      <formula>AND($C29="順調",I$7&gt;=$F29,I$7&lt;=$F29+$G29-1)</formula>
    </cfRule>
    <cfRule type="expression" dxfId="69" priority="149" stopIfTrue="1">
      <formula>AND($C29="中リスク",I$7&gt;=$F29,I$7&lt;=$F29+$G29-1)</formula>
    </cfRule>
    <cfRule type="expression" dxfId="68" priority="150" stopIfTrue="1">
      <formula>AND(LEN($C29)=0,I$7&gt;=$F29,I$7&lt;=$F29+$G29-1)</formula>
    </cfRule>
  </conditionalFormatting>
  <conditionalFormatting sqref="E29:E31">
    <cfRule type="dataBar" priority="144">
      <dataBar>
        <cfvo type="num" val="0"/>
        <cfvo type="num" val="1"/>
        <color theme="9" tint="0.59999389629810485"/>
      </dataBar>
      <extLst>
        <ext xmlns:x14="http://schemas.microsoft.com/office/spreadsheetml/2009/9/main" uri="{B025F937-C7B1-47D3-B67F-A62EFF666E3E}">
          <x14:id>{AD786F39-5D77-4EC0-BDBE-08FD90A92843}</x14:id>
        </ext>
      </extLst>
    </cfRule>
  </conditionalFormatting>
  <conditionalFormatting sqref="E32:E33">
    <cfRule type="dataBar" priority="136">
      <dataBar>
        <cfvo type="num" val="0"/>
        <cfvo type="num" val="1"/>
        <color theme="9" tint="0.59999389629810485"/>
      </dataBar>
      <extLst>
        <ext xmlns:x14="http://schemas.microsoft.com/office/spreadsheetml/2009/9/main" uri="{B025F937-C7B1-47D3-B67F-A62EFF666E3E}">
          <x14:id>{F87261F8-5B67-4CAA-B426-1FB24FF9CC35}</x14:id>
        </ext>
      </extLst>
    </cfRule>
  </conditionalFormatting>
  <conditionalFormatting sqref="BM7:BR25 BM51:BR51">
    <cfRule type="expression" dxfId="67" priority="126">
      <formula>AND(TODAY()&gt;=BM$7,TODAY()&lt;BN$7)</formula>
    </cfRule>
  </conditionalFormatting>
  <conditionalFormatting sqref="BM6:BR6">
    <cfRule type="expression" dxfId="66" priority="128">
      <formula>AND(BM$7&lt;=EOMONTH($I$7,2),BM$7&gt;EOMONTH($I$7,0),BM$7&gt;EOMONTH($I$7,1))</formula>
    </cfRule>
  </conditionalFormatting>
  <conditionalFormatting sqref="BM6:BR6">
    <cfRule type="expression" dxfId="65" priority="127">
      <formula>AND(BM$7&lt;=EOMONTH($I$7,1),BM$7&gt;EOMONTH($I$7,0))</formula>
    </cfRule>
  </conditionalFormatting>
  <conditionalFormatting sqref="BM10:BR25">
    <cfRule type="expression" dxfId="64" priority="129" stopIfTrue="1">
      <formula>AND($C10="低リスク",BM$7&gt;=$F10,BM$7&lt;=$F10+$G10-1)</formula>
    </cfRule>
    <cfRule type="expression" dxfId="63" priority="130" stopIfTrue="1">
      <formula>AND($C10="高リスク",BM$7&gt;=$F10,BM$7&lt;=$F10+$G10-1)</formula>
    </cfRule>
    <cfRule type="expression" dxfId="62" priority="131" stopIfTrue="1">
      <formula>AND($C10="順調",BM$7&gt;=$F10,BM$7&lt;=$F10+$G10-1)</formula>
    </cfRule>
    <cfRule type="expression" dxfId="61" priority="132" stopIfTrue="1">
      <formula>AND($C10="中リスク",BM$7&gt;=$F10,BM$7&lt;=$F10+$G10-1)</formula>
    </cfRule>
    <cfRule type="expression" dxfId="60" priority="133" stopIfTrue="1">
      <formula>AND(LEN($C10)=0,BM$7&gt;=$F10,BM$7&lt;=$F10+$G10-1)</formula>
    </cfRule>
  </conditionalFormatting>
  <conditionalFormatting sqref="BM26:BR28">
    <cfRule type="expression" dxfId="59" priority="119">
      <formula>AND(TODAY()&gt;=BM$7,TODAY()&lt;BN$7)</formula>
    </cfRule>
  </conditionalFormatting>
  <conditionalFormatting sqref="BM26:BR28">
    <cfRule type="expression" dxfId="58" priority="120" stopIfTrue="1">
      <formula>AND($C26="低リスク",BM$7&gt;=$F26,BM$7&lt;=$F26+$G26-1)</formula>
    </cfRule>
    <cfRule type="expression" dxfId="57" priority="121" stopIfTrue="1">
      <formula>AND($C26="高リスク",BM$7&gt;=$F26,BM$7&lt;=$F26+$G26-1)</formula>
    </cfRule>
    <cfRule type="expression" dxfId="56" priority="122" stopIfTrue="1">
      <formula>AND($C26="順調",BM$7&gt;=$F26,BM$7&lt;=$F26+$G26-1)</formula>
    </cfRule>
    <cfRule type="expression" dxfId="55" priority="123" stopIfTrue="1">
      <formula>AND($C26="中リスク",BM$7&gt;=$F26,BM$7&lt;=$F26+$G26-1)</formula>
    </cfRule>
    <cfRule type="expression" dxfId="54" priority="124" stopIfTrue="1">
      <formula>AND(LEN($C26)=0,BM$7&gt;=$F26,BM$7&lt;=$F26+$G26-1)</formula>
    </cfRule>
  </conditionalFormatting>
  <conditionalFormatting sqref="BM29:BR29">
    <cfRule type="expression" dxfId="53" priority="112">
      <formula>AND(TODAY()&gt;=BM$7,TODAY()&lt;BN$7)</formula>
    </cfRule>
  </conditionalFormatting>
  <conditionalFormatting sqref="BM29:BR29">
    <cfRule type="expression" dxfId="52" priority="113" stopIfTrue="1">
      <formula>AND($C29="低リスク",BM$7&gt;=$F29,BM$7&lt;=$F29+$G29-1)</formula>
    </cfRule>
    <cfRule type="expression" dxfId="51" priority="114" stopIfTrue="1">
      <formula>AND($C29="高リスク",BM$7&gt;=$F29,BM$7&lt;=$F29+$G29-1)</formula>
    </cfRule>
    <cfRule type="expression" dxfId="50" priority="115" stopIfTrue="1">
      <formula>AND($C29="順調",BM$7&gt;=$F29,BM$7&lt;=$F29+$G29-1)</formula>
    </cfRule>
    <cfRule type="expression" dxfId="49" priority="116" stopIfTrue="1">
      <formula>AND($C29="中リスク",BM$7&gt;=$F29,BM$7&lt;=$F29+$G29-1)</formula>
    </cfRule>
    <cfRule type="expression" dxfId="48" priority="117" stopIfTrue="1">
      <formula>AND(LEN($C29)=0,BM$7&gt;=$F29,BM$7&lt;=$F29+$G29-1)</formula>
    </cfRule>
  </conditionalFormatting>
  <conditionalFormatting sqref="E34">
    <cfRule type="dataBar" priority="104">
      <dataBar>
        <cfvo type="num" val="0"/>
        <cfvo type="num" val="1"/>
        <color theme="9" tint="0.59999389629810485"/>
      </dataBar>
      <extLst>
        <ext xmlns:x14="http://schemas.microsoft.com/office/spreadsheetml/2009/9/main" uri="{B025F937-C7B1-47D3-B67F-A62EFF666E3E}">
          <x14:id>{99563796-C1FD-4030-BD85-3EB4364FA8D3}</x14:id>
        </ext>
      </extLst>
    </cfRule>
  </conditionalFormatting>
  <conditionalFormatting sqref="E35:E36">
    <cfRule type="dataBar" priority="96">
      <dataBar>
        <cfvo type="num" val="0"/>
        <cfvo type="num" val="1"/>
        <color theme="9" tint="0.59999389629810485"/>
      </dataBar>
      <extLst>
        <ext xmlns:x14="http://schemas.microsoft.com/office/spreadsheetml/2009/9/main" uri="{B025F937-C7B1-47D3-B67F-A62EFF666E3E}">
          <x14:id>{373C9472-E5BF-402B-8155-A5FCC12EAE1F}</x14:id>
        </ext>
      </extLst>
    </cfRule>
  </conditionalFormatting>
  <conditionalFormatting sqref="E37">
    <cfRule type="dataBar" priority="88">
      <dataBar>
        <cfvo type="num" val="0"/>
        <cfvo type="num" val="1"/>
        <color theme="9" tint="0.59999389629810485"/>
      </dataBar>
      <extLst>
        <ext xmlns:x14="http://schemas.microsoft.com/office/spreadsheetml/2009/9/main" uri="{B025F937-C7B1-47D3-B67F-A62EFF666E3E}">
          <x14:id>{C482DA59-F0AA-4D47-8D76-F77115C12697}</x14:id>
        </ext>
      </extLst>
    </cfRule>
  </conditionalFormatting>
  <conditionalFormatting sqref="E38:E39">
    <cfRule type="dataBar" priority="80">
      <dataBar>
        <cfvo type="num" val="0"/>
        <cfvo type="num" val="1"/>
        <color theme="9" tint="0.59999389629810485"/>
      </dataBar>
      <extLst>
        <ext xmlns:x14="http://schemas.microsoft.com/office/spreadsheetml/2009/9/main" uri="{B025F937-C7B1-47D3-B67F-A62EFF666E3E}">
          <x14:id>{BF13D874-3907-40AC-A511-83007312BCC2}</x14:id>
        </ext>
      </extLst>
    </cfRule>
  </conditionalFormatting>
  <conditionalFormatting sqref="E40">
    <cfRule type="dataBar" priority="72">
      <dataBar>
        <cfvo type="num" val="0"/>
        <cfvo type="num" val="1"/>
        <color theme="9" tint="0.59999389629810485"/>
      </dataBar>
      <extLst>
        <ext xmlns:x14="http://schemas.microsoft.com/office/spreadsheetml/2009/9/main" uri="{B025F937-C7B1-47D3-B67F-A62EFF666E3E}">
          <x14:id>{F072F92E-0FD9-4E07-8670-F6C8EDF0F00E}</x14:id>
        </ext>
      </extLst>
    </cfRule>
  </conditionalFormatting>
  <conditionalFormatting sqref="E41:E42">
    <cfRule type="dataBar" priority="71">
      <dataBar>
        <cfvo type="num" val="0"/>
        <cfvo type="num" val="1"/>
        <color theme="9" tint="0.59999389629810485"/>
      </dataBar>
      <extLst>
        <ext xmlns:x14="http://schemas.microsoft.com/office/spreadsheetml/2009/9/main" uri="{B025F937-C7B1-47D3-B67F-A62EFF666E3E}">
          <x14:id>{F90B7296-A7C8-438C-9CD4-252AFD15A724}</x14:id>
        </ext>
      </extLst>
    </cfRule>
  </conditionalFormatting>
  <conditionalFormatting sqref="E43">
    <cfRule type="dataBar" priority="70">
      <dataBar>
        <cfvo type="num" val="0"/>
        <cfvo type="num" val="1"/>
        <color theme="9" tint="0.59999389629810485"/>
      </dataBar>
      <extLst>
        <ext xmlns:x14="http://schemas.microsoft.com/office/spreadsheetml/2009/9/main" uri="{B025F937-C7B1-47D3-B67F-A62EFF666E3E}">
          <x14:id>{5CA2FF69-3B4B-4158-9726-4AF07B66B0EE}</x14:id>
        </ext>
      </extLst>
    </cfRule>
  </conditionalFormatting>
  <conditionalFormatting sqref="E44:E45">
    <cfRule type="dataBar" priority="69">
      <dataBar>
        <cfvo type="num" val="0"/>
        <cfvo type="num" val="1"/>
        <color theme="9" tint="0.59999389629810485"/>
      </dataBar>
      <extLst>
        <ext xmlns:x14="http://schemas.microsoft.com/office/spreadsheetml/2009/9/main" uri="{B025F937-C7B1-47D3-B67F-A62EFF666E3E}">
          <x14:id>{9804FD40-E62B-4F10-8BAC-3CE1E4570A99}</x14:id>
        </ext>
      </extLst>
    </cfRule>
  </conditionalFormatting>
  <conditionalFormatting sqref="E46">
    <cfRule type="dataBar" priority="68">
      <dataBar>
        <cfvo type="num" val="0"/>
        <cfvo type="num" val="1"/>
        <color theme="9" tint="0.59999389629810485"/>
      </dataBar>
      <extLst>
        <ext xmlns:x14="http://schemas.microsoft.com/office/spreadsheetml/2009/9/main" uri="{B025F937-C7B1-47D3-B67F-A62EFF666E3E}">
          <x14:id>{18E25305-FB50-46F0-BCC2-AC32286B073A}</x14:id>
        </ext>
      </extLst>
    </cfRule>
  </conditionalFormatting>
  <conditionalFormatting sqref="E47:E48">
    <cfRule type="dataBar" priority="53">
      <dataBar>
        <cfvo type="num" val="0"/>
        <cfvo type="num" val="1"/>
        <color theme="9" tint="0.59999389629810485"/>
      </dataBar>
      <extLst>
        <ext xmlns:x14="http://schemas.microsoft.com/office/spreadsheetml/2009/9/main" uri="{B025F937-C7B1-47D3-B67F-A62EFF666E3E}">
          <x14:id>{94907DE4-E14A-463D-B51F-DA2046AD3204}</x14:id>
        </ext>
      </extLst>
    </cfRule>
  </conditionalFormatting>
  <conditionalFormatting sqref="E49">
    <cfRule type="dataBar" priority="52">
      <dataBar>
        <cfvo type="num" val="0"/>
        <cfvo type="num" val="1"/>
        <color theme="9" tint="0.59999389629810485"/>
      </dataBar>
      <extLst>
        <ext xmlns:x14="http://schemas.microsoft.com/office/spreadsheetml/2009/9/main" uri="{B025F937-C7B1-47D3-B67F-A62EFF666E3E}">
          <x14:id>{8A166CF7-7C7E-4D5F-A1EA-2E4BFDE2A189}</x14:id>
        </ext>
      </extLst>
    </cfRule>
  </conditionalFormatting>
  <conditionalFormatting sqref="I30:BL50">
    <cfRule type="expression" dxfId="47" priority="45">
      <formula>AND(TODAY()&gt;=I$7,TODAY()&lt;J$7)</formula>
    </cfRule>
  </conditionalFormatting>
  <conditionalFormatting sqref="I30:BL50">
    <cfRule type="expression" dxfId="46" priority="46" stopIfTrue="1">
      <formula>AND($C30="低リスク",I$7&gt;=$F30,I$7&lt;=$F30+$G30-1)</formula>
    </cfRule>
    <cfRule type="expression" dxfId="45" priority="47" stopIfTrue="1">
      <formula>AND($C30="高リスク",I$7&gt;=$F30,I$7&lt;=$F30+$G30-1)</formula>
    </cfRule>
    <cfRule type="expression" dxfId="44" priority="48" stopIfTrue="1">
      <formula>AND($C30="順調",I$7&gt;=$F30,I$7&lt;=$F30+$G30-1)</formula>
    </cfRule>
    <cfRule type="expression" dxfId="43" priority="49" stopIfTrue="1">
      <formula>AND($C30="中リスク",I$7&gt;=$F30,I$7&lt;=$F30+$G30-1)</formula>
    </cfRule>
    <cfRule type="expression" dxfId="42" priority="50" stopIfTrue="1">
      <formula>AND(LEN($C30)=0,I$7&gt;=$F30,I$7&lt;=$F30+$G30-1)</formula>
    </cfRule>
  </conditionalFormatting>
  <conditionalFormatting sqref="BM30:BR50">
    <cfRule type="expression" dxfId="41" priority="38">
      <formula>AND(TODAY()&gt;=BM$7,TODAY()&lt;BN$7)</formula>
    </cfRule>
  </conditionalFormatting>
  <conditionalFormatting sqref="BM30:BR50">
    <cfRule type="expression" dxfId="40" priority="39" stopIfTrue="1">
      <formula>AND($C30="低リスク",BM$7&gt;=$F30,BM$7&lt;=$F30+$G30-1)</formula>
    </cfRule>
    <cfRule type="expression" dxfId="39" priority="40" stopIfTrue="1">
      <formula>AND($C30="高リスク",BM$7&gt;=$F30,BM$7&lt;=$F30+$G30-1)</formula>
    </cfRule>
    <cfRule type="expression" dxfId="38" priority="41" stopIfTrue="1">
      <formula>AND($C30="順調",BM$7&gt;=$F30,BM$7&lt;=$F30+$G30-1)</formula>
    </cfRule>
    <cfRule type="expression" dxfId="37" priority="42" stopIfTrue="1">
      <formula>AND($C30="中リスク",BM$7&gt;=$F30,BM$7&lt;=$F30+$G30-1)</formula>
    </cfRule>
    <cfRule type="expression" dxfId="36" priority="43" stopIfTrue="1">
      <formula>AND(LEN($C30)=0,BM$7&gt;=$F30,BM$7&lt;=$F30+$G30-1)</formula>
    </cfRule>
  </conditionalFormatting>
  <conditionalFormatting sqref="BS7:EJ25 BS51:EJ51">
    <cfRule type="expression" dxfId="35" priority="28">
      <formula>AND(TODAY()&gt;=BS$7,TODAY()&lt;BT$7)</formula>
    </cfRule>
  </conditionalFormatting>
  <conditionalFormatting sqref="BS6:CG6 DG6:DL6">
    <cfRule type="expression" dxfId="34" priority="30">
      <formula>AND(BS$7&lt;=EOMONTH($I$7,2),BS$7&gt;EOMONTH($I$7,0),BS$7&gt;EOMONTH($I$7,1))</formula>
    </cfRule>
  </conditionalFormatting>
  <conditionalFormatting sqref="BS6:CG6 DG6:DL6">
    <cfRule type="expression" dxfId="33" priority="29">
      <formula>AND(BS$7&lt;=EOMONTH($I$7,1),BS$7&gt;EOMONTH($I$7,0))</formula>
    </cfRule>
  </conditionalFormatting>
  <conditionalFormatting sqref="BS10:EJ25">
    <cfRule type="expression" dxfId="32" priority="31" stopIfTrue="1">
      <formula>AND($C10="低リスク",BS$7&gt;=$F10,BS$7&lt;=$F10+$G10-1)</formula>
    </cfRule>
    <cfRule type="expression" dxfId="31" priority="32" stopIfTrue="1">
      <formula>AND($C10="高リスク",BS$7&gt;=$F10,BS$7&lt;=$F10+$G10-1)</formula>
    </cfRule>
    <cfRule type="expression" dxfId="30" priority="33" stopIfTrue="1">
      <formula>AND($C10="順調",BS$7&gt;=$F10,BS$7&lt;=$F10+$G10-1)</formula>
    </cfRule>
    <cfRule type="expression" dxfId="29" priority="34" stopIfTrue="1">
      <formula>AND($C10="中リスク",BS$7&gt;=$F10,BS$7&lt;=$F10+$G10-1)</formula>
    </cfRule>
    <cfRule type="expression" dxfId="28" priority="35" stopIfTrue="1">
      <formula>AND(LEN($C10)=0,BS$7&gt;=$F10,BS$7&lt;=$F10+$G10-1)</formula>
    </cfRule>
  </conditionalFormatting>
  <conditionalFormatting sqref="BS26:EJ28">
    <cfRule type="expression" dxfId="27" priority="21">
      <formula>AND(TODAY()&gt;=BS$7,TODAY()&lt;BT$7)</formula>
    </cfRule>
  </conditionalFormatting>
  <conditionalFormatting sqref="BS26:EJ28">
    <cfRule type="expression" dxfId="26" priority="22" stopIfTrue="1">
      <formula>AND($C26="低リスク",BS$7&gt;=$F26,BS$7&lt;=$F26+$G26-1)</formula>
    </cfRule>
    <cfRule type="expression" dxfId="25" priority="23" stopIfTrue="1">
      <formula>AND($C26="高リスク",BS$7&gt;=$F26,BS$7&lt;=$F26+$G26-1)</formula>
    </cfRule>
    <cfRule type="expression" dxfId="24" priority="24" stopIfTrue="1">
      <formula>AND($C26="順調",BS$7&gt;=$F26,BS$7&lt;=$F26+$G26-1)</formula>
    </cfRule>
    <cfRule type="expression" dxfId="23" priority="25" stopIfTrue="1">
      <formula>AND($C26="中リスク",BS$7&gt;=$F26,BS$7&lt;=$F26+$G26-1)</formula>
    </cfRule>
    <cfRule type="expression" dxfId="22" priority="26" stopIfTrue="1">
      <formula>AND(LEN($C26)=0,BS$7&gt;=$F26,BS$7&lt;=$F26+$G26-1)</formula>
    </cfRule>
  </conditionalFormatting>
  <conditionalFormatting sqref="BS29:EJ29">
    <cfRule type="expression" dxfId="21" priority="14">
      <formula>AND(TODAY()&gt;=BS$7,TODAY()&lt;BT$7)</formula>
    </cfRule>
  </conditionalFormatting>
  <conditionalFormatting sqref="BS29:EJ29">
    <cfRule type="expression" dxfId="20" priority="15" stopIfTrue="1">
      <formula>AND($C29="低リスク",BS$7&gt;=$F29,BS$7&lt;=$F29+$G29-1)</formula>
    </cfRule>
    <cfRule type="expression" dxfId="19" priority="16" stopIfTrue="1">
      <formula>AND($C29="高リスク",BS$7&gt;=$F29,BS$7&lt;=$F29+$G29-1)</formula>
    </cfRule>
    <cfRule type="expression" dxfId="18" priority="17" stopIfTrue="1">
      <formula>AND($C29="順調",BS$7&gt;=$F29,BS$7&lt;=$F29+$G29-1)</formula>
    </cfRule>
    <cfRule type="expression" dxfId="17" priority="18" stopIfTrue="1">
      <formula>AND($C29="中リスク",BS$7&gt;=$F29,BS$7&lt;=$F29+$G29-1)</formula>
    </cfRule>
    <cfRule type="expression" dxfId="16" priority="19" stopIfTrue="1">
      <formula>AND(LEN($C29)=0,BS$7&gt;=$F29,BS$7&lt;=$F29+$G29-1)</formula>
    </cfRule>
  </conditionalFormatting>
  <conditionalFormatting sqref="BS30:EJ50">
    <cfRule type="expression" dxfId="15" priority="7">
      <formula>AND(TODAY()&gt;=BS$7,TODAY()&lt;BT$7)</formula>
    </cfRule>
  </conditionalFormatting>
  <conditionalFormatting sqref="BS30:EJ50">
    <cfRule type="expression" dxfId="14" priority="8" stopIfTrue="1">
      <formula>AND($C30="低リスク",BS$7&gt;=$F30,BS$7&lt;=$F30+$G30-1)</formula>
    </cfRule>
    <cfRule type="expression" dxfId="13" priority="9" stopIfTrue="1">
      <formula>AND($C30="高リスク",BS$7&gt;=$F30,BS$7&lt;=$F30+$G30-1)</formula>
    </cfRule>
    <cfRule type="expression" dxfId="12" priority="10" stopIfTrue="1">
      <formula>AND($C30="順調",BS$7&gt;=$F30,BS$7&lt;=$F30+$G30-1)</formula>
    </cfRule>
    <cfRule type="expression" dxfId="11" priority="11" stopIfTrue="1">
      <formula>AND($C30="中リスク",BS$7&gt;=$F30,BS$7&lt;=$F30+$G30-1)</formula>
    </cfRule>
    <cfRule type="expression" dxfId="10" priority="12" stopIfTrue="1">
      <formula>AND(LEN($C30)=0,BS$7&gt;=$F30,BS$7&lt;=$F30+$G30-1)</formula>
    </cfRule>
  </conditionalFormatting>
  <conditionalFormatting sqref="CH6:CQ6">
    <cfRule type="expression" dxfId="9" priority="6">
      <formula>CH$7&lt;=EOMONTH($I$7,0)</formula>
    </cfRule>
  </conditionalFormatting>
  <conditionalFormatting sqref="CH6:DF6">
    <cfRule type="expression" dxfId="8" priority="5">
      <formula>AND(CH$7&lt;=EOMONTH($I$7,2),CH$7&gt;EOMONTH($I$7,0),CH$7&gt;EOMONTH($I$7,1))</formula>
    </cfRule>
  </conditionalFormatting>
  <conditionalFormatting sqref="CH6:DF6">
    <cfRule type="expression" dxfId="7" priority="4">
      <formula>AND(CH$7&lt;=EOMONTH($I$7,1),CH$7&gt;EOMONTH($I$7,0))</formula>
    </cfRule>
  </conditionalFormatting>
  <conditionalFormatting sqref="DM6:DV6">
    <cfRule type="expression" dxfId="6" priority="3">
      <formula>DM$7&lt;=EOMONTH($I$7,0)</formula>
    </cfRule>
  </conditionalFormatting>
  <conditionalFormatting sqref="DM6:EK6">
    <cfRule type="expression" dxfId="5" priority="2">
      <formula>AND(DM$7&lt;=EOMONTH($I$7,2),DM$7&gt;EOMONTH($I$7,0),DM$7&gt;EOMONTH($I$7,1))</formula>
    </cfRule>
  </conditionalFormatting>
  <conditionalFormatting sqref="DM6:EK6">
    <cfRule type="expression" dxfId="4" priority="1">
      <formula>AND(DM$7&lt;=EOMONTH($I$7,1),DM$7&gt;EOMONTH($I$7,0))</formula>
    </cfRule>
  </conditionalFormatting>
  <dataValidations count="13">
    <dataValidation type="list" allowBlank="1" showInputMessage="1" sqref="C11" xr:uid="{2A71DF35-3E17-4EA3-9F65-3869ED6D651B}">
      <formula1>"目標,マイルストーン,順調, 低リスク, 中リスク, 高リスク"</formula1>
    </dataValidation>
    <dataValidation type="list" allowBlank="1" showInputMessage="1" showErrorMessage="1" sqref="C10 C12:C50" xr:uid="{A8CFFA66-BA13-4963-ABE3-DD76F5716C76}">
      <formula1>"目標,マイルストーン,順調, 低リスク, 中リスク, 高リスク"</formula1>
    </dataValidation>
    <dataValidation type="whole" operator="greaterThanOrEqual" allowBlank="1" showInputMessage="1" promptTitle="スクロールの増分" prompt="この番号を変更すると、ガント チャート ビューがスクロールされます。" sqref="C7" xr:uid="{86087FA1-35BE-457A-912C-7FF26BCE687A}">
      <formula1>0</formula1>
    </dataValidation>
    <dataValidation allowBlank="1" showInputMessage="1" showErrorMessage="1" prompt="これは空の行です" sqref="A50" xr:uid="{008E5CA1-A949-4186-A5FB-74F6E9478170}"/>
    <dataValidation allowBlank="1" showInputMessage="1" showErrorMessage="1" prompt="この行は、ガント マイルストーン データの末尾をマークします。この行には何も入力しないでください。_x000a_さらにアイテムを追加するには、この行の上に新しい行を挿入します。_x000a_" sqref="A51" xr:uid="{CEB624D0-0F11-44F9-B89D-CE4F5F747510}"/>
    <dataValidation allowBlank="1" showInputMessage="1" showErrorMessage="1" prompt="セル B11 からセル G11 に、プロジェクト情報を入力します。_x000a_グラフの作成を開始するには、マイルストーンの説明を入力し、カテゴリを選択し、タスクにユーザーを割り当ててから、タスクの進捗状況、開始日、日数を入力します。_x000a_" sqref="A11" xr:uid="{6BCA7D1C-2B33-4267-B02B-4DBA8944EFBD}"/>
    <dataValidation allowBlank="1" showInputMessage="1" showErrorMessage="1" prompt="This row contains headers for the project schedule.  B9 through G9 contains schedule information.  Cells I9 through BL9 contain the first letter of each day of the week for the date above that heading._x000a_All project timeline charting is auto generated." sqref="A9" xr:uid="{B8D2B96F-34FD-4F20-9F50-24DB43B4F207}"/>
    <dataValidation allowBlank="1" showInputMessage="1" showErrorMessage="1" prompt="スクロール バーはセル I8 から BL8 に表示されます。_x000a_タイムラインの前後にジャンプするには、セル C7 に 0 以上の値を入力します。_x000a_値を 0 にすると、グラフの先頭に移動します。" sqref="A8" xr:uid="{74A0C51E-7215-45D6-BD24-C245B7BE27E3}"/>
    <dataValidation allowBlank="1" showInputMessage="1" showErrorMessage="1" prompt="セル I9 から BL9 には、各日付のセルの上にあるセル ブロック内に表示される月に対応するその月の日付の数字が含まれており、自動的に計算が行われます。_x000a_これらのセルは変更しないでください。_x000a_" sqref="A7" xr:uid="{4842210D-BF55-4A86-A4C6-842F795F4B74}"/>
    <dataValidation allowBlank="1" showInputMessage="1" showErrorMessage="1" prompt="スクロールの増分はセル C7 に表示されます。_x000a_行 7 の日付に対応する月が、セル I6 からセル BL6 に表示されます。_x000a_これらのセルは変更しないでください。これらのセルは、セル F6 プロジェクトの開始日に基づいて自動的に更新されます。" sqref="A6" xr:uid="{EA9CC617-2BA8-4E15-BE35-1DC8ED6023FF}"/>
    <dataValidation allowBlank="1" showInputMessage="1" showErrorMessage="1" prompt="Enter the name of the Project Lead in cell B5. Enter the Project Start date in cell C6 or allow the sample formula to find the smallest date value from the Gantt Data table.  _x000a_Project Start Date: label is in cell B6." sqref="A5" xr:uid="{FAE763E7-9FD8-4860-8671-9ACC7ED6CF64}"/>
    <dataValidation allowBlank="1" showInputMessage="1" showErrorMessage="1" prompt="Enter Company Name in cell B4._x000a_A legend is in cells I4 through AC4.  The Legend label is in cell G4." sqref="A4" xr:uid="{80AAC854-89E1-4DDF-A7BB-5345D03244F7}"/>
    <dataValidation allowBlank="1" showInputMessage="1" showErrorMessage="1" promptTitle="ガント チャートを作成する " prompt="セル B2 にこのプロジェクトのタイトルを入力します。_x000a_このワークシートの使い方 (スクリーン リーダーの説明やこのブックの作成者など) は、[詳細情報] ワークシートで確認できます。_x000a_列 A を下方に移動しながら、詳細な説明を確認できます。" sqref="A2" xr:uid="{CFF7D6BF-E50E-4A95-ACAE-5DE35B344326}"/>
  </dataValidations>
  <printOptions horizontalCentered="1"/>
  <pageMargins left="0.25" right="0.25" top="0.5" bottom="0.5" header="0.3" footer="0.3"/>
  <pageSetup paperSize="9" scale="34" fitToHeight="0" orientation="landscape" r:id="rId1"/>
  <headerFooter differentFirst="1" scaleWithDoc="0">
    <oddFooter>Page &amp;P of &amp;N</oddFooter>
  </headerFooter>
  <rowBreaks count="1" manualBreakCount="1">
    <brk id="50" max="16383" man="1"/>
  </rowBreaks>
  <colBreaks count="1" manualBreakCount="1">
    <brk id="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7409" r:id="rId4" name="スクロール バー 1">
              <controlPr defaultSize="0" autoPict="0" altText="スクロール バーを使用して、ガント プロジェクトのタイムラインをスクロールします。">
                <anchor moveWithCells="1">
                  <from>
                    <xdr:col>8</xdr:col>
                    <xdr:colOff>28575</xdr:colOff>
                    <xdr:row>7</xdr:row>
                    <xdr:rowOff>57150</xdr:rowOff>
                  </from>
                  <to>
                    <xdr:col>50</xdr:col>
                    <xdr:colOff>123825</xdr:colOff>
                    <xdr:row>7</xdr:row>
                    <xdr:rowOff>238125</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F2B6452-7C84-42DF-BE5D-B3B8CB5F5069}">
            <x14:dataBar minLength="0" maxLength="100" gradient="0">
              <x14:cfvo type="num">
                <xm:f>0</xm:f>
              </x14:cfvo>
              <x14:cfvo type="num">
                <xm:f>1</xm:f>
              </x14:cfvo>
              <x14:negativeFillColor rgb="FFFF0000"/>
              <x14:axisColor rgb="FF000000"/>
            </x14:dataBar>
          </x14:cfRule>
          <xm:sqref>E9:E22 E50:E51</xm:sqref>
        </x14:conditionalFormatting>
        <x14:conditionalFormatting xmlns:xm="http://schemas.microsoft.com/office/excel/2006/main">
          <x14:cfRule type="dataBar" id="{273B6C16-5292-42C6-BF78-526C7BC34565}">
            <x14:dataBar minLength="0" maxLength="100" gradient="0">
              <x14:cfvo type="num">
                <xm:f>0</xm:f>
              </x14:cfvo>
              <x14:cfvo type="num">
                <xm:f>1</xm:f>
              </x14:cfvo>
              <x14:negativeFillColor rgb="FFFF0000"/>
              <x14:axisColor rgb="FF000000"/>
            </x14:dataBar>
          </x14:cfRule>
          <xm:sqref>E23:E25</xm:sqref>
        </x14:conditionalFormatting>
        <x14:conditionalFormatting xmlns:xm="http://schemas.microsoft.com/office/excel/2006/main">
          <x14:cfRule type="dataBar" id="{A2A5CF5E-24AB-4033-94B9-21850C465FE9}">
            <x14:dataBar minLength="0" maxLength="100" gradient="0">
              <x14:cfvo type="num">
                <xm:f>0</xm:f>
              </x14:cfvo>
              <x14:cfvo type="num">
                <xm:f>1</xm:f>
              </x14:cfvo>
              <x14:negativeFillColor rgb="FFFF0000"/>
              <x14:axisColor rgb="FF000000"/>
            </x14:dataBar>
          </x14:cfRule>
          <xm:sqref>E26:E28</xm:sqref>
        </x14:conditionalFormatting>
        <x14:conditionalFormatting xmlns:xm="http://schemas.microsoft.com/office/excel/2006/main">
          <x14:cfRule type="dataBar" id="{AD786F39-5D77-4EC0-BDBE-08FD90A92843}">
            <x14:dataBar minLength="0" maxLength="100" gradient="0">
              <x14:cfvo type="num">
                <xm:f>0</xm:f>
              </x14:cfvo>
              <x14:cfvo type="num">
                <xm:f>1</xm:f>
              </x14:cfvo>
              <x14:negativeFillColor rgb="FFFF0000"/>
              <x14:axisColor rgb="FF000000"/>
            </x14:dataBar>
          </x14:cfRule>
          <xm:sqref>E29:E31</xm:sqref>
        </x14:conditionalFormatting>
        <x14:conditionalFormatting xmlns:xm="http://schemas.microsoft.com/office/excel/2006/main">
          <x14:cfRule type="dataBar" id="{F87261F8-5B67-4CAA-B426-1FB24FF9CC35}">
            <x14:dataBar minLength="0" maxLength="100" gradient="0">
              <x14:cfvo type="num">
                <xm:f>0</xm:f>
              </x14:cfvo>
              <x14:cfvo type="num">
                <xm:f>1</xm:f>
              </x14:cfvo>
              <x14:negativeFillColor rgb="FFFF0000"/>
              <x14:axisColor rgb="FF000000"/>
            </x14:dataBar>
          </x14:cfRule>
          <xm:sqref>E32:E33</xm:sqref>
        </x14:conditionalFormatting>
        <x14:conditionalFormatting xmlns:xm="http://schemas.microsoft.com/office/excel/2006/main">
          <x14:cfRule type="dataBar" id="{99563796-C1FD-4030-BD85-3EB4364FA8D3}">
            <x14:dataBar minLength="0" maxLength="100" gradient="0">
              <x14:cfvo type="num">
                <xm:f>0</xm:f>
              </x14:cfvo>
              <x14:cfvo type="num">
                <xm:f>1</xm:f>
              </x14:cfvo>
              <x14:negativeFillColor rgb="FFFF0000"/>
              <x14:axisColor rgb="FF000000"/>
            </x14:dataBar>
          </x14:cfRule>
          <xm:sqref>E34</xm:sqref>
        </x14:conditionalFormatting>
        <x14:conditionalFormatting xmlns:xm="http://schemas.microsoft.com/office/excel/2006/main">
          <x14:cfRule type="dataBar" id="{373C9472-E5BF-402B-8155-A5FCC12EAE1F}">
            <x14:dataBar minLength="0" maxLength="100" gradient="0">
              <x14:cfvo type="num">
                <xm:f>0</xm:f>
              </x14:cfvo>
              <x14:cfvo type="num">
                <xm:f>1</xm:f>
              </x14:cfvo>
              <x14:negativeFillColor rgb="FFFF0000"/>
              <x14:axisColor rgb="FF000000"/>
            </x14:dataBar>
          </x14:cfRule>
          <xm:sqref>E35:E36</xm:sqref>
        </x14:conditionalFormatting>
        <x14:conditionalFormatting xmlns:xm="http://schemas.microsoft.com/office/excel/2006/main">
          <x14:cfRule type="dataBar" id="{C482DA59-F0AA-4D47-8D76-F77115C12697}">
            <x14:dataBar minLength="0" maxLength="100" gradient="0">
              <x14:cfvo type="num">
                <xm:f>0</xm:f>
              </x14:cfvo>
              <x14:cfvo type="num">
                <xm:f>1</xm:f>
              </x14:cfvo>
              <x14:negativeFillColor rgb="FFFF0000"/>
              <x14:axisColor rgb="FF000000"/>
            </x14:dataBar>
          </x14:cfRule>
          <xm:sqref>E37</xm:sqref>
        </x14:conditionalFormatting>
        <x14:conditionalFormatting xmlns:xm="http://schemas.microsoft.com/office/excel/2006/main">
          <x14:cfRule type="dataBar" id="{BF13D874-3907-40AC-A511-83007312BCC2}">
            <x14:dataBar minLength="0" maxLength="100" gradient="0">
              <x14:cfvo type="num">
                <xm:f>0</xm:f>
              </x14:cfvo>
              <x14:cfvo type="num">
                <xm:f>1</xm:f>
              </x14:cfvo>
              <x14:negativeFillColor rgb="FFFF0000"/>
              <x14:axisColor rgb="FF000000"/>
            </x14:dataBar>
          </x14:cfRule>
          <xm:sqref>E38:E39</xm:sqref>
        </x14:conditionalFormatting>
        <x14:conditionalFormatting xmlns:xm="http://schemas.microsoft.com/office/excel/2006/main">
          <x14:cfRule type="dataBar" id="{F072F92E-0FD9-4E07-8670-F6C8EDF0F00E}">
            <x14:dataBar minLength="0" maxLength="100" gradient="0">
              <x14:cfvo type="num">
                <xm:f>0</xm:f>
              </x14:cfvo>
              <x14:cfvo type="num">
                <xm:f>1</xm:f>
              </x14:cfvo>
              <x14:negativeFillColor rgb="FFFF0000"/>
              <x14:axisColor rgb="FF000000"/>
            </x14:dataBar>
          </x14:cfRule>
          <xm:sqref>E40</xm:sqref>
        </x14:conditionalFormatting>
        <x14:conditionalFormatting xmlns:xm="http://schemas.microsoft.com/office/excel/2006/main">
          <x14:cfRule type="dataBar" id="{F90B7296-A7C8-438C-9CD4-252AFD15A724}">
            <x14:dataBar minLength="0" maxLength="100" gradient="0">
              <x14:cfvo type="num">
                <xm:f>0</xm:f>
              </x14:cfvo>
              <x14:cfvo type="num">
                <xm:f>1</xm:f>
              </x14:cfvo>
              <x14:negativeFillColor rgb="FFFF0000"/>
              <x14:axisColor rgb="FF000000"/>
            </x14:dataBar>
          </x14:cfRule>
          <xm:sqref>E41:E42</xm:sqref>
        </x14:conditionalFormatting>
        <x14:conditionalFormatting xmlns:xm="http://schemas.microsoft.com/office/excel/2006/main">
          <x14:cfRule type="dataBar" id="{5CA2FF69-3B4B-4158-9726-4AF07B66B0EE}">
            <x14:dataBar minLength="0" maxLength="100" gradient="0">
              <x14:cfvo type="num">
                <xm:f>0</xm:f>
              </x14:cfvo>
              <x14:cfvo type="num">
                <xm:f>1</xm:f>
              </x14:cfvo>
              <x14:negativeFillColor rgb="FFFF0000"/>
              <x14:axisColor rgb="FF000000"/>
            </x14:dataBar>
          </x14:cfRule>
          <xm:sqref>E43</xm:sqref>
        </x14:conditionalFormatting>
        <x14:conditionalFormatting xmlns:xm="http://schemas.microsoft.com/office/excel/2006/main">
          <x14:cfRule type="dataBar" id="{9804FD40-E62B-4F10-8BAC-3CE1E4570A99}">
            <x14:dataBar minLength="0" maxLength="100" gradient="0">
              <x14:cfvo type="num">
                <xm:f>0</xm:f>
              </x14:cfvo>
              <x14:cfvo type="num">
                <xm:f>1</xm:f>
              </x14:cfvo>
              <x14:negativeFillColor rgb="FFFF0000"/>
              <x14:axisColor rgb="FF000000"/>
            </x14:dataBar>
          </x14:cfRule>
          <xm:sqref>E44:E45</xm:sqref>
        </x14:conditionalFormatting>
        <x14:conditionalFormatting xmlns:xm="http://schemas.microsoft.com/office/excel/2006/main">
          <x14:cfRule type="dataBar" id="{18E25305-FB50-46F0-BCC2-AC32286B073A}">
            <x14:dataBar minLength="0" maxLength="100" gradient="0">
              <x14:cfvo type="num">
                <xm:f>0</xm:f>
              </x14:cfvo>
              <x14:cfvo type="num">
                <xm:f>1</xm:f>
              </x14:cfvo>
              <x14:negativeFillColor rgb="FFFF0000"/>
              <x14:axisColor rgb="FF000000"/>
            </x14:dataBar>
          </x14:cfRule>
          <xm:sqref>E46</xm:sqref>
        </x14:conditionalFormatting>
        <x14:conditionalFormatting xmlns:xm="http://schemas.microsoft.com/office/excel/2006/main">
          <x14:cfRule type="dataBar" id="{94907DE4-E14A-463D-B51F-DA2046AD3204}">
            <x14:dataBar minLength="0" maxLength="100" gradient="0">
              <x14:cfvo type="num">
                <xm:f>0</xm:f>
              </x14:cfvo>
              <x14:cfvo type="num">
                <xm:f>1</xm:f>
              </x14:cfvo>
              <x14:negativeFillColor rgb="FFFF0000"/>
              <x14:axisColor rgb="FF000000"/>
            </x14:dataBar>
          </x14:cfRule>
          <xm:sqref>E47:E48</xm:sqref>
        </x14:conditionalFormatting>
        <x14:conditionalFormatting xmlns:xm="http://schemas.microsoft.com/office/excel/2006/main">
          <x14:cfRule type="dataBar" id="{8A166CF7-7C7E-4D5F-A1EA-2E4BFDE2A189}">
            <x14:dataBar minLength="0" maxLength="100" gradient="0">
              <x14:cfvo type="num">
                <xm:f>0</xm:f>
              </x14:cfvo>
              <x14:cfvo type="num">
                <xm:f>1</xm:f>
              </x14:cfvo>
              <x14:negativeFillColor rgb="FFFF0000"/>
              <x14:axisColor rgb="FF000000"/>
            </x14:dataBar>
          </x14:cfRule>
          <xm:sqref>E49</xm:sqref>
        </x14:conditionalFormatting>
        <x14:conditionalFormatting xmlns:xm="http://schemas.microsoft.com/office/excel/2006/main">
          <x14:cfRule type="iconSet" priority="172" id="{5AD67FB9-23B4-4F54-BD80-7A6CF9720346}">
            <x14:iconSet iconSet="3Stars" showValue="0" custom="1">
              <x14:cfvo type="percent">
                <xm:f>0</xm:f>
              </x14:cfvo>
              <x14:cfvo type="num">
                <xm:f>1</xm:f>
              </x14:cfvo>
              <x14:cfvo type="num">
                <xm:f>2</xm:f>
              </x14:cfvo>
              <x14:cfIcon iconSet="NoIcons" iconId="0"/>
              <x14:cfIcon iconSet="3Flags" iconId="1"/>
              <x14:cfIcon iconSet="3Signs" iconId="0"/>
            </x14:iconSet>
          </x14:cfRule>
          <xm:sqref>I51:BL51</xm:sqref>
        </x14:conditionalFormatting>
        <x14:conditionalFormatting xmlns:xm="http://schemas.microsoft.com/office/excel/2006/main">
          <x14:cfRule type="iconSet" priority="232" id="{67763332-2AE9-4F93-8BB7-5ECDB6B99BA2}">
            <x14:iconSet iconSet="3Stars" showValue="0" custom="1">
              <x14:cfvo type="percent">
                <xm:f>0</xm:f>
              </x14:cfvo>
              <x14:cfvo type="num">
                <xm:f>1</xm:f>
              </x14:cfvo>
              <x14:cfvo type="num">
                <xm:f>2</xm:f>
              </x14:cfvo>
              <x14:cfIcon iconSet="NoIcons" iconId="0"/>
              <x14:cfIcon iconSet="3Flags" iconId="1"/>
              <x14:cfIcon iconSet="3Signs" iconId="0"/>
            </x14:iconSet>
          </x14:cfRule>
          <xm:sqref>I10:BL25</xm:sqref>
        </x14:conditionalFormatting>
        <x14:conditionalFormatting xmlns:xm="http://schemas.microsoft.com/office/excel/2006/main">
          <x14:cfRule type="iconSet" priority="159" id="{702F32AD-351C-486B-B573-EB6B749235FA}">
            <x14:iconSet iconSet="3Stars" showValue="0" custom="1">
              <x14:cfvo type="percent">
                <xm:f>0</xm:f>
              </x14:cfvo>
              <x14:cfvo type="num">
                <xm:f>1</xm:f>
              </x14:cfvo>
              <x14:cfvo type="num">
                <xm:f>2</xm:f>
              </x14:cfvo>
              <x14:cfIcon iconSet="NoIcons" iconId="0"/>
              <x14:cfIcon iconSet="3Flags" iconId="1"/>
              <x14:cfIcon iconSet="3Signs" iconId="0"/>
            </x14:iconSet>
          </x14:cfRule>
          <xm:sqref>I26:BL28</xm:sqref>
        </x14:conditionalFormatting>
        <x14:conditionalFormatting xmlns:xm="http://schemas.microsoft.com/office/excel/2006/main">
          <x14:cfRule type="iconSet" priority="151" id="{E58002D9-E35C-4DA2-80A1-5902606FAEA6}">
            <x14:iconSet iconSet="3Stars" showValue="0" custom="1">
              <x14:cfvo type="percent">
                <xm:f>0</xm:f>
              </x14:cfvo>
              <x14:cfvo type="num">
                <xm:f>1</xm:f>
              </x14:cfvo>
              <x14:cfvo type="num">
                <xm:f>2</xm:f>
              </x14:cfvo>
              <x14:cfIcon iconSet="NoIcons" iconId="0"/>
              <x14:cfIcon iconSet="3Flags" iconId="1"/>
              <x14:cfIcon iconSet="3Signs" iconId="0"/>
            </x14:iconSet>
          </x14:cfRule>
          <xm:sqref>I29:BL29</xm:sqref>
        </x14:conditionalFormatting>
        <x14:conditionalFormatting xmlns:xm="http://schemas.microsoft.com/office/excel/2006/main">
          <x14:cfRule type="iconSet" priority="134" id="{C7CB8A56-2A46-479D-9791-49D9196E15B1}">
            <x14:iconSet iconSet="3Stars" showValue="0" custom="1">
              <x14:cfvo type="percent">
                <xm:f>0</xm:f>
              </x14:cfvo>
              <x14:cfvo type="num">
                <xm:f>1</xm:f>
              </x14:cfvo>
              <x14:cfvo type="num">
                <xm:f>2</xm:f>
              </x14:cfvo>
              <x14:cfIcon iconSet="NoIcons" iconId="0"/>
              <x14:cfIcon iconSet="3Flags" iconId="1"/>
              <x14:cfIcon iconSet="3Signs" iconId="0"/>
            </x14:iconSet>
          </x14:cfRule>
          <xm:sqref>BM51:BR51</xm:sqref>
        </x14:conditionalFormatting>
        <x14:conditionalFormatting xmlns:xm="http://schemas.microsoft.com/office/excel/2006/main">
          <x14:cfRule type="iconSet" priority="135" id="{19B8596D-33B2-4676-A1AB-9DC0D8D81B12}">
            <x14:iconSet iconSet="3Stars" showValue="0" custom="1">
              <x14:cfvo type="percent">
                <xm:f>0</xm:f>
              </x14:cfvo>
              <x14:cfvo type="num">
                <xm:f>1</xm:f>
              </x14:cfvo>
              <x14:cfvo type="num">
                <xm:f>2</xm:f>
              </x14:cfvo>
              <x14:cfIcon iconSet="NoIcons" iconId="0"/>
              <x14:cfIcon iconSet="3Flags" iconId="1"/>
              <x14:cfIcon iconSet="3Signs" iconId="0"/>
            </x14:iconSet>
          </x14:cfRule>
          <xm:sqref>BM10:BR25</xm:sqref>
        </x14:conditionalFormatting>
        <x14:conditionalFormatting xmlns:xm="http://schemas.microsoft.com/office/excel/2006/main">
          <x14:cfRule type="iconSet" priority="125" id="{92B95465-6C92-42C7-802F-AED67983373D}">
            <x14:iconSet iconSet="3Stars" showValue="0" custom="1">
              <x14:cfvo type="percent">
                <xm:f>0</xm:f>
              </x14:cfvo>
              <x14:cfvo type="num">
                <xm:f>1</xm:f>
              </x14:cfvo>
              <x14:cfvo type="num">
                <xm:f>2</xm:f>
              </x14:cfvo>
              <x14:cfIcon iconSet="NoIcons" iconId="0"/>
              <x14:cfIcon iconSet="3Flags" iconId="1"/>
              <x14:cfIcon iconSet="3Signs" iconId="0"/>
            </x14:iconSet>
          </x14:cfRule>
          <xm:sqref>BM26:BR28</xm:sqref>
        </x14:conditionalFormatting>
        <x14:conditionalFormatting xmlns:xm="http://schemas.microsoft.com/office/excel/2006/main">
          <x14:cfRule type="iconSet" priority="118" id="{5B49164B-7DFD-4327-B100-201BD6EF78CC}">
            <x14:iconSet iconSet="3Stars" showValue="0" custom="1">
              <x14:cfvo type="percent">
                <xm:f>0</xm:f>
              </x14:cfvo>
              <x14:cfvo type="num">
                <xm:f>1</xm:f>
              </x14:cfvo>
              <x14:cfvo type="num">
                <xm:f>2</xm:f>
              </x14:cfvo>
              <x14:cfIcon iconSet="NoIcons" iconId="0"/>
              <x14:cfIcon iconSet="3Flags" iconId="1"/>
              <x14:cfIcon iconSet="3Signs" iconId="0"/>
            </x14:iconSet>
          </x14:cfRule>
          <xm:sqref>BM29:BR29</xm:sqref>
        </x14:conditionalFormatting>
        <x14:conditionalFormatting xmlns:xm="http://schemas.microsoft.com/office/excel/2006/main">
          <x14:cfRule type="iconSet" priority="51" id="{4FF3F891-213B-44D5-ABF0-F2D97F2B1ABA}">
            <x14:iconSet iconSet="3Stars" showValue="0" custom="1">
              <x14:cfvo type="percent">
                <xm:f>0</xm:f>
              </x14:cfvo>
              <x14:cfvo type="num">
                <xm:f>1</xm:f>
              </x14:cfvo>
              <x14:cfvo type="num">
                <xm:f>2</xm:f>
              </x14:cfvo>
              <x14:cfIcon iconSet="NoIcons" iconId="0"/>
              <x14:cfIcon iconSet="3Flags" iconId="1"/>
              <x14:cfIcon iconSet="3Signs" iconId="0"/>
            </x14:iconSet>
          </x14:cfRule>
          <xm:sqref>I30:BL50</xm:sqref>
        </x14:conditionalFormatting>
        <x14:conditionalFormatting xmlns:xm="http://schemas.microsoft.com/office/excel/2006/main">
          <x14:cfRule type="iconSet" priority="44" id="{E8F64C4B-5F0C-4F15-B73F-11ACBDE42D9C}">
            <x14:iconSet iconSet="3Stars" showValue="0" custom="1">
              <x14:cfvo type="percent">
                <xm:f>0</xm:f>
              </x14:cfvo>
              <x14:cfvo type="num">
                <xm:f>1</xm:f>
              </x14:cfvo>
              <x14:cfvo type="num">
                <xm:f>2</xm:f>
              </x14:cfvo>
              <x14:cfIcon iconSet="NoIcons" iconId="0"/>
              <x14:cfIcon iconSet="3Flags" iconId="1"/>
              <x14:cfIcon iconSet="3Signs" iconId="0"/>
            </x14:iconSet>
          </x14:cfRule>
          <xm:sqref>BM30:BR50</xm:sqref>
        </x14:conditionalFormatting>
        <x14:conditionalFormatting xmlns:xm="http://schemas.microsoft.com/office/excel/2006/main">
          <x14:cfRule type="iconSet" priority="36" id="{7112BE8E-89D1-4E96-95C4-3DACF58EF21A}">
            <x14:iconSet iconSet="3Stars" showValue="0" custom="1">
              <x14:cfvo type="percent">
                <xm:f>0</xm:f>
              </x14:cfvo>
              <x14:cfvo type="num">
                <xm:f>1</xm:f>
              </x14:cfvo>
              <x14:cfvo type="num">
                <xm:f>2</xm:f>
              </x14:cfvo>
              <x14:cfIcon iconSet="NoIcons" iconId="0"/>
              <x14:cfIcon iconSet="3Flags" iconId="1"/>
              <x14:cfIcon iconSet="3Signs" iconId="0"/>
            </x14:iconSet>
          </x14:cfRule>
          <xm:sqref>BS51:EJ51</xm:sqref>
        </x14:conditionalFormatting>
        <x14:conditionalFormatting xmlns:xm="http://schemas.microsoft.com/office/excel/2006/main">
          <x14:cfRule type="iconSet" priority="37" id="{E4EC31BA-47B8-44B0-8C71-F96D26053709}">
            <x14:iconSet iconSet="3Stars" showValue="0" custom="1">
              <x14:cfvo type="percent">
                <xm:f>0</xm:f>
              </x14:cfvo>
              <x14:cfvo type="num">
                <xm:f>1</xm:f>
              </x14:cfvo>
              <x14:cfvo type="num">
                <xm:f>2</xm:f>
              </x14:cfvo>
              <x14:cfIcon iconSet="NoIcons" iconId="0"/>
              <x14:cfIcon iconSet="3Flags" iconId="1"/>
              <x14:cfIcon iconSet="3Signs" iconId="0"/>
            </x14:iconSet>
          </x14:cfRule>
          <xm:sqref>BS10:EJ25</xm:sqref>
        </x14:conditionalFormatting>
        <x14:conditionalFormatting xmlns:xm="http://schemas.microsoft.com/office/excel/2006/main">
          <x14:cfRule type="iconSet" priority="27" id="{BD57E88D-72E9-4344-93DC-7684507C9F07}">
            <x14:iconSet iconSet="3Stars" showValue="0" custom="1">
              <x14:cfvo type="percent">
                <xm:f>0</xm:f>
              </x14:cfvo>
              <x14:cfvo type="num">
                <xm:f>1</xm:f>
              </x14:cfvo>
              <x14:cfvo type="num">
                <xm:f>2</xm:f>
              </x14:cfvo>
              <x14:cfIcon iconSet="NoIcons" iconId="0"/>
              <x14:cfIcon iconSet="3Flags" iconId="1"/>
              <x14:cfIcon iconSet="3Signs" iconId="0"/>
            </x14:iconSet>
          </x14:cfRule>
          <xm:sqref>BS26:EJ28</xm:sqref>
        </x14:conditionalFormatting>
        <x14:conditionalFormatting xmlns:xm="http://schemas.microsoft.com/office/excel/2006/main">
          <x14:cfRule type="iconSet" priority="20" id="{CBA18DEC-F341-4895-A52C-8992F283162D}">
            <x14:iconSet iconSet="3Stars" showValue="0" custom="1">
              <x14:cfvo type="percent">
                <xm:f>0</xm:f>
              </x14:cfvo>
              <x14:cfvo type="num">
                <xm:f>1</xm:f>
              </x14:cfvo>
              <x14:cfvo type="num">
                <xm:f>2</xm:f>
              </x14:cfvo>
              <x14:cfIcon iconSet="NoIcons" iconId="0"/>
              <x14:cfIcon iconSet="3Flags" iconId="1"/>
              <x14:cfIcon iconSet="3Signs" iconId="0"/>
            </x14:iconSet>
          </x14:cfRule>
          <xm:sqref>BS29:EJ29</xm:sqref>
        </x14:conditionalFormatting>
        <x14:conditionalFormatting xmlns:xm="http://schemas.microsoft.com/office/excel/2006/main">
          <x14:cfRule type="iconSet" priority="13" id="{33C27BF4-14CE-4A2F-B5E4-930712CDB051}">
            <x14:iconSet iconSet="3Stars" showValue="0" custom="1">
              <x14:cfvo type="percent">
                <xm:f>0</xm:f>
              </x14:cfvo>
              <x14:cfvo type="num">
                <xm:f>1</xm:f>
              </x14:cfvo>
              <x14:cfvo type="num">
                <xm:f>2</xm:f>
              </x14:cfvo>
              <x14:cfIcon iconSet="NoIcons" iconId="0"/>
              <x14:cfIcon iconSet="3Flags" iconId="1"/>
              <x14:cfIcon iconSet="3Signs" iconId="0"/>
            </x14:iconSet>
          </x14:cfRule>
          <xm:sqref>BS30:EJ50</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748BF-C80E-49EF-BF44-7865CCACA8C2}">
  <sheetPr codeName="Sheet2"/>
  <dimension ref="B3:D41"/>
  <sheetViews>
    <sheetView tabSelected="1" zoomScale="70" zoomScaleNormal="70" workbookViewId="0">
      <selection activeCell="AP21" sqref="AP21"/>
    </sheetView>
  </sheetViews>
  <sheetFormatPr defaultColWidth="3.77734375" defaultRowHeight="15.75" x14ac:dyDescent="0.25"/>
  <cols>
    <col min="1" max="1" width="3.77734375" style="79"/>
    <col min="2" max="2" width="11.5546875" style="79" customWidth="1"/>
    <col min="3" max="3" width="15" style="79" customWidth="1"/>
    <col min="4" max="4" width="12.6640625" style="79" customWidth="1"/>
    <col min="5" max="16384" width="3.77734375" style="79"/>
  </cols>
  <sheetData>
    <row r="3" spans="2:4" x14ac:dyDescent="0.25">
      <c r="B3" s="83" t="s">
        <v>44</v>
      </c>
      <c r="C3" s="81" t="s">
        <v>49</v>
      </c>
    </row>
    <row r="4" spans="2:4" x14ac:dyDescent="0.25">
      <c r="B4" s="83" t="s">
        <v>46</v>
      </c>
      <c r="C4" s="84">
        <v>20</v>
      </c>
      <c r="D4" s="85" t="s">
        <v>50</v>
      </c>
    </row>
    <row r="6" spans="2:4" x14ac:dyDescent="0.25">
      <c r="B6" s="80" t="s">
        <v>45</v>
      </c>
      <c r="C6" s="80" t="s">
        <v>47</v>
      </c>
      <c r="D6" s="80" t="s">
        <v>48</v>
      </c>
    </row>
    <row r="7" spans="2:4" x14ac:dyDescent="0.25">
      <c r="B7" s="86">
        <v>44332</v>
      </c>
      <c r="C7" s="81">
        <v>19</v>
      </c>
      <c r="D7" s="81">
        <v>19</v>
      </c>
    </row>
    <row r="8" spans="2:4" x14ac:dyDescent="0.25">
      <c r="B8" s="86">
        <v>44333</v>
      </c>
      <c r="C8" s="81">
        <v>17</v>
      </c>
      <c r="D8" s="81">
        <v>18</v>
      </c>
    </row>
    <row r="9" spans="2:4" x14ac:dyDescent="0.25">
      <c r="B9" s="86">
        <v>44334</v>
      </c>
      <c r="C9" s="81">
        <v>16</v>
      </c>
      <c r="D9" s="81">
        <v>17</v>
      </c>
    </row>
    <row r="10" spans="2:4" x14ac:dyDescent="0.25">
      <c r="B10" s="86">
        <v>44335</v>
      </c>
      <c r="C10" s="81">
        <v>15</v>
      </c>
      <c r="D10" s="81">
        <v>16</v>
      </c>
    </row>
    <row r="11" spans="2:4" x14ac:dyDescent="0.25">
      <c r="B11" s="86">
        <v>44336</v>
      </c>
      <c r="C11" s="81">
        <v>13</v>
      </c>
      <c r="D11" s="81">
        <v>16</v>
      </c>
    </row>
    <row r="12" spans="2:4" x14ac:dyDescent="0.25">
      <c r="B12" s="86">
        <v>44337</v>
      </c>
      <c r="C12" s="81">
        <v>12</v>
      </c>
      <c r="D12" s="81">
        <v>16</v>
      </c>
    </row>
    <row r="13" spans="2:4" x14ac:dyDescent="0.25">
      <c r="B13" s="86">
        <v>44338</v>
      </c>
      <c r="C13" s="81">
        <v>11</v>
      </c>
      <c r="D13" s="81">
        <v>12</v>
      </c>
    </row>
    <row r="14" spans="2:4" x14ac:dyDescent="0.25">
      <c r="B14" s="86">
        <v>44339</v>
      </c>
      <c r="C14" s="81">
        <v>9</v>
      </c>
      <c r="D14" s="81"/>
    </row>
    <row r="15" spans="2:4" x14ac:dyDescent="0.25">
      <c r="B15" s="86">
        <v>44340</v>
      </c>
      <c r="C15" s="81">
        <v>8</v>
      </c>
      <c r="D15" s="81"/>
    </row>
    <row r="16" spans="2:4" x14ac:dyDescent="0.25">
      <c r="B16" s="86">
        <v>44341</v>
      </c>
      <c r="C16" s="81">
        <v>7</v>
      </c>
      <c r="D16" s="81"/>
    </row>
    <row r="17" spans="2:4" x14ac:dyDescent="0.25">
      <c r="B17" s="86">
        <v>44342</v>
      </c>
      <c r="C17" s="81">
        <v>5</v>
      </c>
      <c r="D17" s="81"/>
    </row>
    <row r="18" spans="2:4" x14ac:dyDescent="0.25">
      <c r="B18" s="86">
        <v>44343</v>
      </c>
      <c r="C18" s="81">
        <v>4</v>
      </c>
      <c r="D18" s="81"/>
    </row>
    <row r="19" spans="2:4" x14ac:dyDescent="0.25">
      <c r="B19" s="86">
        <v>44344</v>
      </c>
      <c r="C19" s="81">
        <v>3</v>
      </c>
      <c r="D19" s="81"/>
    </row>
    <row r="20" spans="2:4" x14ac:dyDescent="0.25">
      <c r="B20" s="86">
        <v>44345</v>
      </c>
      <c r="C20" s="81">
        <v>1</v>
      </c>
      <c r="D20" s="81"/>
    </row>
    <row r="21" spans="2:4" x14ac:dyDescent="0.25">
      <c r="B21" s="86">
        <v>44346</v>
      </c>
      <c r="C21" s="81">
        <v>0</v>
      </c>
      <c r="D21" s="81"/>
    </row>
    <row r="22" spans="2:4" x14ac:dyDescent="0.25">
      <c r="B22" s="86"/>
      <c r="C22" s="81"/>
      <c r="D22" s="81"/>
    </row>
    <row r="23" spans="2:4" x14ac:dyDescent="0.25">
      <c r="B23" s="86"/>
      <c r="C23" s="81"/>
      <c r="D23" s="81"/>
    </row>
    <row r="24" spans="2:4" x14ac:dyDescent="0.25">
      <c r="B24" s="86"/>
      <c r="C24" s="81"/>
      <c r="D24" s="81"/>
    </row>
    <row r="25" spans="2:4" x14ac:dyDescent="0.25">
      <c r="B25" s="86"/>
      <c r="C25" s="81"/>
      <c r="D25" s="81"/>
    </row>
    <row r="26" spans="2:4" x14ac:dyDescent="0.25">
      <c r="B26" s="86"/>
      <c r="C26" s="81"/>
      <c r="D26" s="81"/>
    </row>
    <row r="27" spans="2:4" x14ac:dyDescent="0.25">
      <c r="B27" s="82"/>
      <c r="C27" s="81"/>
      <c r="D27" s="81"/>
    </row>
    <row r="28" spans="2:4" x14ac:dyDescent="0.25">
      <c r="B28" s="82"/>
      <c r="C28" s="81"/>
      <c r="D28" s="81"/>
    </row>
    <row r="29" spans="2:4" x14ac:dyDescent="0.25">
      <c r="B29" s="82"/>
      <c r="C29" s="81"/>
      <c r="D29" s="81"/>
    </row>
    <row r="30" spans="2:4" x14ac:dyDescent="0.25">
      <c r="B30" s="82"/>
      <c r="C30" s="81"/>
      <c r="D30" s="81"/>
    </row>
    <row r="31" spans="2:4" x14ac:dyDescent="0.25">
      <c r="B31" s="82"/>
      <c r="C31" s="81"/>
      <c r="D31" s="81"/>
    </row>
    <row r="32" spans="2:4" x14ac:dyDescent="0.25">
      <c r="B32" s="82"/>
      <c r="C32" s="81"/>
      <c r="D32" s="81"/>
    </row>
    <row r="33" spans="2:4" x14ac:dyDescent="0.25">
      <c r="B33" s="82"/>
      <c r="C33" s="81"/>
      <c r="D33" s="81"/>
    </row>
    <row r="34" spans="2:4" x14ac:dyDescent="0.25">
      <c r="B34" s="82"/>
      <c r="C34" s="81"/>
      <c r="D34" s="81"/>
    </row>
    <row r="35" spans="2:4" x14ac:dyDescent="0.25">
      <c r="B35" s="82"/>
      <c r="C35" s="81"/>
      <c r="D35" s="81"/>
    </row>
    <row r="36" spans="2:4" x14ac:dyDescent="0.25">
      <c r="B36" s="82"/>
      <c r="C36" s="81"/>
      <c r="D36" s="81"/>
    </row>
    <row r="37" spans="2:4" x14ac:dyDescent="0.25">
      <c r="B37" s="82"/>
      <c r="C37" s="81"/>
      <c r="D37" s="81"/>
    </row>
    <row r="38" spans="2:4" x14ac:dyDescent="0.25">
      <c r="B38" s="82"/>
      <c r="C38" s="81"/>
      <c r="D38" s="81"/>
    </row>
    <row r="39" spans="2:4" x14ac:dyDescent="0.25">
      <c r="B39" s="82"/>
      <c r="C39" s="81"/>
      <c r="D39" s="81"/>
    </row>
    <row r="40" spans="2:4" x14ac:dyDescent="0.25">
      <c r="B40" s="82"/>
      <c r="C40" s="81"/>
      <c r="D40" s="81"/>
    </row>
    <row r="41" spans="2:4" x14ac:dyDescent="0.25">
      <c r="B41" s="82"/>
      <c r="C41" s="81"/>
      <c r="D41" s="81"/>
    </row>
  </sheetData>
  <phoneticPr fontId="3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予定作成">
                <anchor moveWithCells="1" sizeWithCells="1">
                  <from>
                    <xdr:col>5</xdr:col>
                    <xdr:colOff>66675</xdr:colOff>
                    <xdr:row>1</xdr:row>
                    <xdr:rowOff>95250</xdr:rowOff>
                  </from>
                  <to>
                    <xdr:col>10</xdr:col>
                    <xdr:colOff>38100</xdr:colOff>
                    <xdr:row>4</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_ip_UnifiedCompliancePolicyProperties xmlns="http://schemas.microsoft.com/sharepoint/v3" xsi:nil="true"/>
    <lcf76f155ced4ddcb4097134ff3c332f xmlns="71af3243-3dd4-4a8d-8c0d-dd76da1f02a5">
      <Terms xmlns="http://schemas.microsoft.com/office/infopath/2007/PartnerControls"/>
    </lcf76f155ced4ddcb4097134ff3c332f>
    <TaxCatchAll xmlns="230e9df3-be65-4c73-a93b-d1236ebd677e"/>
    <MediaServiceKeyPoints xmlns="71af3243-3dd4-4a8d-8c0d-dd76da1f02a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18" ma:contentTypeDescription="Create a new document." ma:contentTypeScope="" ma:versionID="22a266b9fa9a230c5a512669d8b298c3">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eddc33fff6b14141ee5c74a0d29ea6a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2:Status" minOccurs="0"/>
                <xsd:element ref="ns1:_ip_UnifiedCompliancePolicyProperties" minOccurs="0"/>
                <xsd:element ref="ns1:_ip_UnifiedCompliancePolicyUIAction" minOccurs="0"/>
                <xsd:element ref="ns2:Image"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Status" ma:index="19" nillable="true" ma:displayName="Status" ma:default="Not started" ma:format="Dropdown" ma:internalName="Status">
      <xsd:simpleType>
        <xsd:restriction base="dms:Choice">
          <xsd:enumeration value="Not started"/>
          <xsd:enumeration value="In Progress"/>
          <xsd:enumeration value="Completed"/>
        </xsd:restriction>
      </xsd:simpleType>
    </xsd:element>
    <xsd:element name="Image" ma:index="22" nillable="true" ma:displayName="Image" ma:format="Image" ma:internalName="Image">
      <xsd:complexType>
        <xsd:complexContent>
          <xsd:extension base="dms:URL">
            <xsd:sequence>
              <xsd:element name="Url" type="dms:ValidUrl" minOccurs="0" nillable="true"/>
              <xsd:element name="Description" type="xsd:string" nillable="true"/>
            </xsd:sequence>
          </xsd:extension>
        </xsd:complexContent>
      </xsd:complexType>
    </xsd:element>
    <xsd:element name="lcf76f155ced4ddcb4097134ff3c332f" ma:index="24" nillable="true" ma:taxonomy="true" ma:internalName="lcf76f155ced4ddcb4097134ff3c332f" ma:taxonomyFieldName="MediaServiceAITags" ma:displayName="Image Tags" ma:readOnly="false" ma:fieldId="{5cf76f15-5ced-4ddc-b409-7134ff3c332f}" ma:taxonomyMulti="true" ma:sspId="e385fb40-52d4-4fae-9c5b-3e8ff8a5878e" ma:termSetId="09814cd3-568e-4e90-9814-8d621ff8fb84"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3f6bfcbc-3db3-4ae6-bd76-326f0798ad28}" ma:internalName="TaxCatchAll"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9060724-9CA2-4290-8A0C-B53624A594E7}">
  <ds:schemaRefs>
    <ds:schemaRef ds:uri="http://schemas.microsoft.com/sharepoint/v3/contenttype/forms"/>
  </ds:schemaRefs>
</ds:datastoreItem>
</file>

<file path=customXml/itemProps2.xml><?xml version="1.0" encoding="utf-8"?>
<ds:datastoreItem xmlns:ds="http://schemas.openxmlformats.org/officeDocument/2006/customXml" ds:itemID="{AA4BA2A8-DB97-40F9-8DB6-154C09C7467C}">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3.xml><?xml version="1.0" encoding="utf-8"?>
<ds:datastoreItem xmlns:ds="http://schemas.openxmlformats.org/officeDocument/2006/customXml" ds:itemID="{75C87518-DD8E-42CD-8DAC-291A323E84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TM55723235</Templat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進捗管理表</vt:lpstr>
      <vt:lpstr>バーンダウンチャート</vt:lpstr>
      <vt:lpstr>進捗管理表!Print_Titles</vt:lpstr>
      <vt:lpstr>進捗管理表!Project_Start</vt:lpstr>
      <vt:lpstr>進捗管理表!Scrolling_Increment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2021-02-17T05:31:39Z</dcterms:created>
  <dcterms:modified xsi:type="dcterms:W3CDTF">2021-05-23T05:24:08Z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